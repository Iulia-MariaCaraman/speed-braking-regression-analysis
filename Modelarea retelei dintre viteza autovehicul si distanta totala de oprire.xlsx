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drawings/drawing6.xml" ContentType="application/vnd.openxmlformats-officedocument.drawing+xml"/>
  <Override PartName="/xl/tables/table1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iliagogu/Desktop/3. STATISTICA II CSIE - 2025/"/>
    </mc:Choice>
  </mc:AlternateContent>
  <xr:revisionPtr revIDLastSave="0" documentId="13_ncr:1_{E76CF612-3D0A-D941-846F-2309009A11CA}" xr6:coauthVersionLast="47" xr6:coauthVersionMax="47" xr10:uidLastSave="{00000000-0000-0000-0000-000000000000}"/>
  <bookViews>
    <workbookView xWindow="0" yWindow="500" windowWidth="25600" windowHeight="14040" xr2:uid="{2CB64988-A9CA-4239-A8DC-A7E14C8C00FE}"/>
  </bookViews>
  <sheets>
    <sheet name="Aplicatia propusa " sheetId="11" r:id="rId1"/>
    <sheet name="Cerința 1" sheetId="10" r:id="rId2"/>
    <sheet name="Cerinta 2" sheetId="1" r:id="rId3"/>
    <sheet name="Cerinta 3" sheetId="3" r:id="rId4"/>
    <sheet name="Cerinta 4" sheetId="6" r:id="rId5"/>
    <sheet name="Cerinta 5" sheetId="5" r:id="rId6"/>
    <sheet name="Cerinta 6" sheetId="7" r:id="rId7"/>
    <sheet name="Cerinta 7" sheetId="8" r:id="rId8"/>
  </sheets>
  <externalReferences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8" i="3" l="1"/>
  <c r="M9" i="3"/>
  <c r="M12" i="3"/>
  <c r="M13" i="3"/>
  <c r="M14" i="3"/>
  <c r="M15" i="3"/>
  <c r="M16" i="3"/>
  <c r="M7" i="3"/>
  <c r="M17" i="3"/>
  <c r="M18" i="3"/>
  <c r="M19" i="3"/>
  <c r="R13" i="3"/>
  <c r="M11" i="3" s="1"/>
  <c r="R12" i="3"/>
  <c r="M10" i="3" s="1"/>
  <c r="C38" i="8"/>
  <c r="C39" i="8"/>
  <c r="C40" i="8"/>
  <c r="C41" i="8"/>
  <c r="N11" i="6"/>
  <c r="S28" i="7"/>
  <c r="H24" i="5"/>
  <c r="H25" i="5"/>
  <c r="D39" i="8"/>
  <c r="D40" i="8"/>
  <c r="D41" i="8"/>
  <c r="D38" i="8"/>
  <c r="F39" i="8"/>
  <c r="F40" i="8"/>
  <c r="F41" i="8"/>
  <c r="F38" i="8"/>
  <c r="E39" i="8"/>
  <c r="E40" i="8"/>
  <c r="E41" i="8"/>
  <c r="E38" i="8"/>
  <c r="M24" i="3" l="1"/>
  <c r="L6" i="8"/>
  <c r="L7" i="8"/>
  <c r="J27" i="7"/>
  <c r="J24" i="7"/>
  <c r="J26" i="7" s="1"/>
  <c r="Y14" i="7"/>
  <c r="Y15" i="7" s="1"/>
  <c r="N8" i="6"/>
  <c r="G9" i="8" l="1"/>
  <c r="G18" i="1" l="1"/>
  <c r="F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J19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6" i="3"/>
  <c r="M6" i="3"/>
  <c r="H20" i="3"/>
  <c r="G20" i="3"/>
  <c r="I6" i="3"/>
  <c r="J6" i="3"/>
  <c r="I7" i="3"/>
  <c r="J7" i="3"/>
  <c r="I8" i="3"/>
  <c r="J8" i="3"/>
  <c r="I9" i="3"/>
  <c r="J9" i="3"/>
  <c r="I10" i="3"/>
  <c r="J10" i="3"/>
  <c r="I11" i="3"/>
  <c r="J11" i="3"/>
  <c r="I12" i="3"/>
  <c r="J12" i="3"/>
  <c r="I13" i="3"/>
  <c r="J13" i="3"/>
  <c r="I14" i="3"/>
  <c r="J14" i="3"/>
  <c r="I15" i="3"/>
  <c r="J15" i="3"/>
  <c r="I16" i="3"/>
  <c r="J16" i="3"/>
  <c r="I17" i="3"/>
  <c r="J17" i="3"/>
  <c r="I18" i="3"/>
  <c r="J18" i="3"/>
  <c r="I19" i="3"/>
  <c r="K6" i="1"/>
  <c r="K5" i="1"/>
  <c r="I20" i="3" l="1"/>
  <c r="N20" i="3"/>
  <c r="J20" i="3"/>
  <c r="M20" i="3"/>
  <c r="I18" i="1"/>
  <c r="H18" i="1"/>
  <c r="K15" i="1" s="1"/>
  <c r="K10" i="3" l="1"/>
  <c r="L10" i="3" s="1"/>
  <c r="K18" i="1"/>
  <c r="K6" i="3"/>
  <c r="K7" i="3"/>
  <c r="L7" i="3" s="1"/>
  <c r="K12" i="3"/>
  <c r="L12" i="3" s="1"/>
  <c r="K9" i="3"/>
  <c r="L9" i="3" s="1"/>
  <c r="K14" i="3"/>
  <c r="L14" i="3" s="1"/>
  <c r="K17" i="3"/>
  <c r="L17" i="3" s="1"/>
  <c r="K11" i="3"/>
  <c r="L11" i="3" s="1"/>
  <c r="K13" i="3"/>
  <c r="L13" i="3" s="1"/>
  <c r="K19" i="3"/>
  <c r="L19" i="3" s="1"/>
  <c r="K18" i="3"/>
  <c r="L18" i="3" s="1"/>
  <c r="K16" i="3"/>
  <c r="L16" i="3" s="1"/>
  <c r="K15" i="3"/>
  <c r="L15" i="3" s="1"/>
  <c r="K8" i="3"/>
  <c r="L8" i="3" s="1"/>
  <c r="L6" i="3" l="1"/>
  <c r="L20" i="3" s="1"/>
  <c r="Q26" i="3" s="1"/>
  <c r="K20" i="3"/>
</calcChain>
</file>

<file path=xl/sharedStrings.xml><?xml version="1.0" encoding="utf-8"?>
<sst xmlns="http://schemas.openxmlformats.org/spreadsheetml/2006/main" count="303" uniqueCount="172">
  <si>
    <t>Viteza</t>
  </si>
  <si>
    <t>(km/oră)</t>
  </si>
  <si>
    <t xml:space="preserve">Distanța totală de oprire </t>
  </si>
  <si>
    <t>(m)</t>
  </si>
  <si>
    <t>Nr ctr.</t>
  </si>
  <si>
    <t>Total</t>
  </si>
  <si>
    <t>11.</t>
  </si>
  <si>
    <t>12.</t>
  </si>
  <si>
    <t>13.</t>
  </si>
  <si>
    <t>14.</t>
  </si>
  <si>
    <t>Standard Error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</si>
  <si>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</si>
  <si>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</si>
  <si>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</si>
  <si>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</si>
  <si>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</si>
  <si>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</si>
  <si>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</si>
  <si>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</si>
  <si>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</si>
  <si>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</si>
  <si>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</si>
  <si>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</si>
  <si>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</si>
  <si>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</si>
  <si>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</si>
  <si>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</si>
  <si>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</si>
  <si>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</si>
  <si>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</si>
  <si>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</si>
  <si>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95,0%</t>
  </si>
  <si>
    <t>Upper 95,0%</t>
  </si>
  <si>
    <t>X Variable 1</t>
  </si>
  <si>
    <t>3.        Să se determine intensitatea legăturii dintre cele 2 variabile cu ajutorul Raportului de corelație, Coeficientului de corelație.</t>
  </si>
  <si>
    <t>Yxi=-30,0345+1,4100*xi</t>
  </si>
  <si>
    <t>Regression Excel</t>
  </si>
  <si>
    <t>Functii excel</t>
  </si>
  <si>
    <t xml:space="preserve">2.        Estimarea parametrilor modelului econometric prin: metoda determinanților, funcții Excel, prin metoda grafică și Data Analysis (Regresion Excel); </t>
  </si>
  <si>
    <t xml:space="preserve">5.        să se testeze semnificația parametrilor modelului pentru un prag de semnificație α = 5%; </t>
  </si>
  <si>
    <t>Distanța totală de oprire (m)</t>
  </si>
  <si>
    <t>Viteza(km/ora)</t>
  </si>
  <si>
    <t>tcritic</t>
  </si>
  <si>
    <t>F tabelar</t>
  </si>
  <si>
    <t>p</t>
  </si>
  <si>
    <t>t</t>
  </si>
  <si>
    <t>Coeficient de corelatie</t>
  </si>
  <si>
    <t>t 0,05; 12</t>
  </si>
  <si>
    <t xml:space="preserve">Y( 180)= </t>
  </si>
  <si>
    <t>FUNCTIA DE REGRESIE</t>
  </si>
  <si>
    <t xml:space="preserve"> </t>
  </si>
  <si>
    <t>t statistic</t>
  </si>
  <si>
    <t>t critic</t>
  </si>
  <si>
    <t>4.        să se testeze validitatea modelului de regresie;</t>
  </si>
  <si>
    <t>Intensitatea legaturii dintre cele 2 variabile</t>
  </si>
  <si>
    <t>Multiple R = 0.981741802307406, deci R: 98.1741802%</t>
  </si>
  <si>
    <t>Validitatea modelului de regresie</t>
  </si>
  <si>
    <t>Semnificatia parametrilor modelului pentru un prag de semnificatie de 5%</t>
  </si>
  <si>
    <t>4.47252&lt;17.87868 =&gt; exista suficiente dovezi pentru a afirma faptul ca viteza masinii determina distanta totala de oprire</t>
  </si>
  <si>
    <t>𝑅^2=0.96328 si R=0.9817418, deci coeficientul de determinatie este 98.17% , iar restul de 1.83% sunt alti factori</t>
  </si>
  <si>
    <t>Predictia distantei de oprire cand viteza e egala cu 180 km/h</t>
  </si>
  <si>
    <t>Timeline</t>
  </si>
  <si>
    <t>Values</t>
  </si>
  <si>
    <t>Forecast</t>
  </si>
  <si>
    <t>Lower Confidence Bound</t>
  </si>
  <si>
    <t>Upper Confidence Bound</t>
  </si>
  <si>
    <t>RESIDUAL OUTPUT</t>
  </si>
  <si>
    <t>PROBABILITY OUTPUT</t>
  </si>
  <si>
    <t>Observation</t>
  </si>
  <si>
    <t>Predicted Distanta totala de oprire</t>
  </si>
  <si>
    <t>Residuals</t>
  </si>
  <si>
    <t>Standard Residuals</t>
  </si>
  <si>
    <t>Percentile</t>
  </si>
  <si>
    <t>Distanta totala de oprire</t>
  </si>
  <si>
    <t>Conform predictiei ( cu confidence level 95%) distanta de oprire va fi 223,77</t>
  </si>
  <si>
    <t>Sau prin altă metodă</t>
  </si>
  <si>
    <t xml:space="preserve">Coeficientul b = 1.410050549 arată că distanța totala de oprire a unui automobil creşte în medie cu 1.410050549 m pentru fiecare km/oră al vitezei. Interpretarea termenului liber (intercept) nu are sens economic în acest exemplu. Astfel, nici o masina care sta pe loc (are viteza 0) nu poate merge inapoi cu 30m . Coeficientul de determinaţie este de 96,38%, modelul fiind valid (F significance&lt;0,05).  </t>
  </si>
  <si>
    <t>liniar</t>
  </si>
  <si>
    <t>estimat progresiv</t>
  </si>
  <si>
    <t>I. Factorii care influenteaza negativ timpul de reactie :</t>
  </si>
  <si>
    <t>1) Starea de oboseala</t>
  </si>
  <si>
    <t>3) Consumul de bauturi alcoolice</t>
  </si>
  <si>
    <t>4) Consumul de droguri</t>
  </si>
  <si>
    <t>II. Factorii care influenteaza negativ timpul (mecanic) de franare :</t>
  </si>
  <si>
    <t>1) Defectiuni la sistemul de franare</t>
  </si>
  <si>
    <t>2) Uzura avansata a pneurilor</t>
  </si>
  <si>
    <t>3) Felul si starea drumurilor</t>
  </si>
  <si>
    <t>4) Conditiile meteorologice</t>
  </si>
  <si>
    <t>5) Repartizarea neproportionata a incarcaturii</t>
  </si>
  <si>
    <t>Cerințele:</t>
  </si>
  <si>
    <t>Metoda celor mai mici patrate 
Metoda determinantilor</t>
  </si>
  <si>
    <r>
      <t>x</t>
    </r>
    <r>
      <rPr>
        <b/>
        <i/>
        <vertAlign val="subscript"/>
        <sz val="14"/>
        <color rgb="FF000000"/>
        <rFont val="Times New Roman"/>
        <family val="1"/>
      </rPr>
      <t>i</t>
    </r>
  </si>
  <si>
    <r>
      <t>y</t>
    </r>
    <r>
      <rPr>
        <b/>
        <i/>
        <vertAlign val="subscript"/>
        <sz val="14"/>
        <color rgb="FF000000"/>
        <rFont val="Times New Roman"/>
        <family val="1"/>
      </rPr>
      <t>i</t>
    </r>
  </si>
  <si>
    <r>
      <t>x</t>
    </r>
    <r>
      <rPr>
        <b/>
        <i/>
        <vertAlign val="superscript"/>
        <sz val="14"/>
        <color rgb="FF000000"/>
        <rFont val="Times New Roman"/>
        <family val="1"/>
      </rPr>
      <t>2</t>
    </r>
  </si>
  <si>
    <r>
      <t>x</t>
    </r>
    <r>
      <rPr>
        <b/>
        <i/>
        <vertAlign val="subscript"/>
        <sz val="14"/>
        <color rgb="FF000000"/>
        <rFont val="Times New Roman"/>
        <family val="1"/>
      </rPr>
      <t>i</t>
    </r>
    <r>
      <rPr>
        <b/>
        <i/>
        <sz val="14"/>
        <color rgb="FF000000"/>
        <rFont val="Times New Roman"/>
        <family val="1"/>
      </rPr>
      <t>y</t>
    </r>
    <r>
      <rPr>
        <b/>
        <i/>
        <vertAlign val="subscript"/>
        <sz val="14"/>
        <color rgb="FF000000"/>
        <rFont val="Times New Roman"/>
        <family val="1"/>
      </rPr>
      <t>i</t>
    </r>
  </si>
  <si>
    <t>1.      </t>
  </si>
  <si>
    <t>2.      </t>
  </si>
  <si>
    <t>3.      </t>
  </si>
  <si>
    <t>4.      </t>
  </si>
  <si>
    <t>5.      </t>
  </si>
  <si>
    <t>6.      </t>
  </si>
  <si>
    <t>7.      </t>
  </si>
  <si>
    <t>8.      </t>
  </si>
  <si>
    <t>9.      </t>
  </si>
  <si>
    <t>10.   </t>
  </si>
  <si>
    <t>a = INTERCEPT</t>
  </si>
  <si>
    <t>b= SLOPE</t>
  </si>
  <si>
    <t xml:space="preserve">2) Consumul de medicamente contraindicate </t>
  </si>
  <si>
    <r>
      <t xml:space="preserve">Deoarece  F calculat &gt; F 0,05;1;12( significance F) =&gt; </t>
    </r>
    <r>
      <rPr>
        <sz val="16"/>
        <color rgb="FFFF0000"/>
        <rFont val="Times New Roman"/>
        <family val="1"/>
      </rPr>
      <t>modelul de regresie este valid</t>
    </r>
  </si>
  <si>
    <t>4.         Validitatea modelului de regresie;</t>
  </si>
  <si>
    <t>3.        Intensitatea legăturii dintre cele 2 variabile cu ajutorul Raportului de corelație, Coeficientului de corelație.</t>
  </si>
  <si>
    <t>RELAȚIA DE CALCUL</t>
  </si>
  <si>
    <t xml:space="preserve">5.       Semnificația parametrilor modelului pentru un prag de semnificație α = 5%; </t>
  </si>
  <si>
    <t>6 . Intensitatea legăturii dintre cele 2 variabile cu ajutorul unor indecși adecvați si sa se testeze semnificația acestora, α = 5%</t>
  </si>
  <si>
    <t>Metoda liniară</t>
  </si>
  <si>
    <t>a=intercept</t>
  </si>
  <si>
    <t>b=slope</t>
  </si>
  <si>
    <t>Cerinta 2'!A1</t>
  </si>
  <si>
    <t>Cerinta 3'!A1</t>
  </si>
  <si>
    <t>Cerinta 4'!A1</t>
  </si>
  <si>
    <t>Cerinta 5'!A1</t>
  </si>
  <si>
    <t>Cerinta 6'!A1</t>
  </si>
  <si>
    <t>Cerinta 7'!A1</t>
  </si>
  <si>
    <t>Cerința 1'!A1</t>
  </si>
  <si>
    <t>Revenire la pagina</t>
  </si>
  <si>
    <t xml:space="preserve">6.        să se aprecieze intensitatea legăturii dintre cele 2 variabile cu ajutorul unor indecși adecvați si sa se testeze semnificația acestora, α = 5%; </t>
  </si>
  <si>
    <r>
      <t>x</t>
    </r>
    <r>
      <rPr>
        <b/>
        <i/>
        <vertAlign val="subscript"/>
        <sz val="14"/>
        <color theme="4"/>
        <rFont val="Times New Roman"/>
        <family val="1"/>
      </rPr>
      <t>i</t>
    </r>
  </si>
  <si>
    <r>
      <t>y</t>
    </r>
    <r>
      <rPr>
        <b/>
        <i/>
        <vertAlign val="subscript"/>
        <sz val="14"/>
        <color theme="4"/>
        <rFont val="Times New Roman"/>
        <family val="1"/>
      </rPr>
      <t>i</t>
    </r>
  </si>
  <si>
    <r>
      <t>x</t>
    </r>
    <r>
      <rPr>
        <b/>
        <i/>
        <vertAlign val="superscript"/>
        <sz val="14"/>
        <color theme="4"/>
        <rFont val="Times New Roman"/>
        <family val="1"/>
      </rPr>
      <t>2</t>
    </r>
  </si>
  <si>
    <r>
      <t>x</t>
    </r>
    <r>
      <rPr>
        <b/>
        <i/>
        <vertAlign val="subscript"/>
        <sz val="14"/>
        <color theme="4"/>
        <rFont val="Times New Roman"/>
        <family val="1"/>
      </rPr>
      <t>i</t>
    </r>
    <r>
      <rPr>
        <b/>
        <i/>
        <sz val="14"/>
        <color theme="4"/>
        <rFont val="Times New Roman"/>
        <family val="1"/>
      </rPr>
      <t>y</t>
    </r>
    <r>
      <rPr>
        <b/>
        <i/>
        <vertAlign val="subscript"/>
        <sz val="14"/>
        <color theme="4"/>
        <rFont val="Times New Roman"/>
        <family val="1"/>
      </rPr>
      <t>i</t>
    </r>
  </si>
  <si>
    <t>(yi -      )²</t>
  </si>
  <si>
    <t>(yi - Yxi)^2</t>
  </si>
  <si>
    <t xml:space="preserve"> 7.  Predicție a distanței de oprire la o viteză de 140-180 km/h</t>
  </si>
  <si>
    <r>
      <rPr>
        <b/>
        <u/>
        <sz val="14"/>
        <color rgb="FFC00000"/>
        <rFont val="Times New Roman"/>
        <family val="1"/>
      </rPr>
      <t>Link</t>
    </r>
    <r>
      <rPr>
        <sz val="14"/>
        <color theme="1"/>
        <rFont val="Times New Roman"/>
        <family val="1"/>
      </rPr>
      <t xml:space="preserve">
Rezolvate în foaia de calcul</t>
    </r>
  </si>
  <si>
    <t>Fcritical</t>
  </si>
  <si>
    <t>A</t>
  </si>
  <si>
    <t>B</t>
  </si>
  <si>
    <t>C</t>
  </si>
  <si>
    <t>D</t>
  </si>
  <si>
    <t>Column1</t>
  </si>
  <si>
    <t>FORECAST.LINEAR(150;C3:C19;B3:B19)</t>
  </si>
  <si>
    <t>FORECAST.ETS(B38;$C$3:$C$19;$B$3:$B$19;1;1)</t>
  </si>
  <si>
    <t>D38-FORECAST.ETS.CONFINT(B38;$C$3:$C$19;$B$3:$B$19;0,95;1;1)</t>
  </si>
  <si>
    <t>D38+FORECAST.ETS.CONFINT(B38;$C$3:$C$19;$B$3:$B$19;0,95;1;1)</t>
  </si>
  <si>
    <t>Sursa: phttp://www.politiarutiera.ro/forum/showthread.php?1573-Distanta-de-franare-in-functie-de-viteza</t>
  </si>
  <si>
    <t>Aplicatia Propusa</t>
  </si>
  <si>
    <t>Din care:</t>
  </si>
  <si>
    <t>Distanta parcursa în timpul de reactie (m)</t>
  </si>
  <si>
    <t>Distanta parcursa în timpul (mecanic) de frânare (m)</t>
  </si>
  <si>
    <t>1.        Factorii care influențează distanța de frânare</t>
  </si>
  <si>
    <t>1.  Factorii care influențează distanța de frânare</t>
  </si>
  <si>
    <t>b - SLOPE</t>
  </si>
  <si>
    <t>a - INTERCEPT</t>
  </si>
  <si>
    <t>AVERAGE</t>
  </si>
  <si>
    <t>Date necesare</t>
  </si>
  <si>
    <t>F.INV</t>
  </si>
  <si>
    <t>TINV</t>
  </si>
  <si>
    <t>funcția</t>
  </si>
  <si>
    <t>funcție</t>
  </si>
  <si>
    <t xml:space="preserve">7. O predicție a distanței de oprire la o viteză de 180 km/oră </t>
  </si>
  <si>
    <t>Prin funcția liniară</t>
  </si>
  <si>
    <t>Prin funcția - Polynominal</t>
  </si>
  <si>
    <t>Ecuație de gradul al doilea</t>
  </si>
  <si>
    <t xml:space="preserve"> La Poliția Rutieră s-au înregistrat următoarele date cu privire la viteza autoturismului și distanța parcursă în momentul frânării.</t>
  </si>
  <si>
    <t>Foaia de calcul 1</t>
  </si>
  <si>
    <t>Foaia de calcul 2</t>
  </si>
  <si>
    <t>Foaia de calcul 3</t>
  </si>
  <si>
    <t>Foaia de calcul 4</t>
  </si>
  <si>
    <t>Foaia de calcul 5</t>
  </si>
  <si>
    <t>Foaia de calcul 6</t>
  </si>
  <si>
    <t>Foaia de calcul 7</t>
  </si>
  <si>
    <t>Revenire la cuprins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</si>
</sst>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2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sz val="14"/>
      <color theme="1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b/>
      <i/>
      <sz val="14"/>
      <color theme="1"/>
      <name val="Times New Roman"/>
      <family val="1"/>
    </font>
    <font>
      <sz val="14"/>
      <color theme="0"/>
      <name val="Times New Roman"/>
      <family val="1"/>
    </font>
    <font>
      <sz val="14"/>
      <color rgb="FF000000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Calibri"/>
      <family val="2"/>
      <charset val="238"/>
      <scheme val="minor"/>
    </font>
    <font>
      <sz val="16"/>
      <name val="Times New Roman"/>
      <family val="1"/>
    </font>
    <font>
      <sz val="14"/>
      <color rgb="FF9C5700"/>
      <name val="Times New Roman"/>
      <family val="1"/>
    </font>
    <font>
      <i/>
      <sz val="14"/>
      <color theme="1"/>
      <name val="Times New Roman"/>
      <family val="1"/>
    </font>
    <font>
      <sz val="18"/>
      <color theme="0"/>
      <name val="Times New Roman"/>
      <family val="1"/>
    </font>
    <font>
      <b/>
      <i/>
      <sz val="14"/>
      <color rgb="FF000000"/>
      <name val="Times New Roman"/>
      <family val="1"/>
    </font>
    <font>
      <b/>
      <i/>
      <vertAlign val="subscript"/>
      <sz val="14"/>
      <color rgb="FF000000"/>
      <name val="Times New Roman"/>
      <family val="1"/>
    </font>
    <font>
      <b/>
      <i/>
      <vertAlign val="superscript"/>
      <sz val="14"/>
      <color rgb="FF000000"/>
      <name val="Times New Roman"/>
      <family val="1"/>
    </font>
    <font>
      <b/>
      <sz val="14"/>
      <color rgb="FF000000"/>
      <name val="Times New Roman"/>
      <family val="1"/>
    </font>
    <font>
      <sz val="14"/>
      <color theme="4"/>
      <name val="Times New Roman"/>
      <family val="1"/>
    </font>
    <font>
      <b/>
      <sz val="14"/>
      <color theme="4"/>
      <name val="Times New Roman"/>
      <family val="1"/>
    </font>
    <font>
      <sz val="14"/>
      <color rgb="FFC00000"/>
      <name val="Times New Roman"/>
      <family val="1"/>
    </font>
    <font>
      <b/>
      <sz val="14"/>
      <color rgb="FFC00000"/>
      <name val="Times New Roman"/>
      <family val="1"/>
    </font>
    <font>
      <sz val="18"/>
      <color theme="1"/>
      <name val="Times New Roman"/>
      <family val="1"/>
    </font>
    <font>
      <sz val="14"/>
      <color rgb="FFFF0000"/>
      <name val="Times New Roman"/>
      <family val="1"/>
    </font>
    <font>
      <sz val="16"/>
      <color rgb="FFFF0000"/>
      <name val="Times New Roman"/>
      <family val="1"/>
    </font>
    <font>
      <sz val="16"/>
      <color theme="1"/>
      <name val="Times New Roman"/>
      <family val="1"/>
    </font>
    <font>
      <b/>
      <sz val="16"/>
      <color rgb="FFC00000"/>
      <name val="Times New Roman"/>
      <family val="1"/>
    </font>
    <font>
      <b/>
      <sz val="14"/>
      <color theme="1"/>
      <name val="Times New Roman"/>
      <family val="1"/>
    </font>
    <font>
      <u/>
      <sz val="14"/>
      <color theme="10"/>
      <name val="Times New Roman"/>
      <family val="1"/>
    </font>
    <font>
      <sz val="16"/>
      <color rgb="FF9C5700"/>
      <name val="Times New Roman"/>
      <family val="1"/>
    </font>
    <font>
      <b/>
      <i/>
      <sz val="16"/>
      <color theme="1"/>
      <name val="Times New Roman"/>
      <family val="1"/>
    </font>
    <font>
      <sz val="16"/>
      <color rgb="FF000000"/>
      <name val="Times New Roman"/>
      <family val="1"/>
    </font>
    <font>
      <i/>
      <sz val="16"/>
      <color theme="1"/>
      <name val="Times New Roman"/>
      <family val="1"/>
    </font>
    <font>
      <u/>
      <sz val="18"/>
      <color theme="10"/>
      <name val="Times New Roman"/>
      <family val="1"/>
    </font>
    <font>
      <u/>
      <sz val="18"/>
      <color theme="0"/>
      <name val="Calibri"/>
      <family val="2"/>
      <charset val="238"/>
      <scheme val="minor"/>
    </font>
    <font>
      <b/>
      <u/>
      <sz val="14"/>
      <color rgb="FFC00000"/>
      <name val="Times New Roman"/>
      <family val="1"/>
    </font>
    <font>
      <b/>
      <sz val="16"/>
      <color theme="4"/>
      <name val="Times New Roman"/>
      <family val="1"/>
    </font>
    <font>
      <u/>
      <sz val="14"/>
      <color theme="0"/>
      <name val="Calibri"/>
      <family val="2"/>
      <charset val="238"/>
      <scheme val="minor"/>
    </font>
    <font>
      <b/>
      <i/>
      <sz val="14"/>
      <color theme="4"/>
      <name val="Times New Roman"/>
      <family val="1"/>
    </font>
    <font>
      <b/>
      <i/>
      <vertAlign val="subscript"/>
      <sz val="14"/>
      <color theme="4"/>
      <name val="Times New Roman"/>
      <family val="1"/>
    </font>
    <font>
      <b/>
      <i/>
      <vertAlign val="superscript"/>
      <sz val="14"/>
      <color theme="4"/>
      <name val="Times New Roman"/>
      <family val="1"/>
    </font>
    <font>
      <b/>
      <sz val="14"/>
      <color rgb="FFFF0000"/>
      <name val="Times New Roman"/>
      <family val="1"/>
    </font>
    <font>
      <sz val="11"/>
      <color theme="1"/>
      <name val="Verdana"/>
      <family val="2"/>
    </font>
    <font>
      <b/>
      <sz val="11"/>
      <color theme="1"/>
      <name val="Verdana"/>
      <family val="2"/>
    </font>
    <font>
      <b/>
      <i/>
      <sz val="14"/>
      <color rgb="FFFF0000"/>
      <name val="Times New Roman"/>
      <family val="1"/>
    </font>
    <font>
      <i/>
      <sz val="14"/>
      <color theme="8" tint="-0.499984740745262"/>
      <name val="Times New Roman"/>
      <family val="1"/>
    </font>
    <font>
      <b/>
      <sz val="16"/>
      <color theme="8" tint="-0.499984740745262"/>
      <name val="Arial"/>
      <family val="2"/>
    </font>
    <font>
      <b/>
      <sz val="12"/>
      <color theme="1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30">
    <border>
      <left/>
      <right/>
      <top/>
      <bottom/>
      <diagonal/>
    </border>
    <border>
      <left style="medium">
        <color rgb="FFB4C6E7"/>
      </left>
      <right style="medium">
        <color rgb="FFB4C6E7"/>
      </right>
      <top style="medium">
        <color rgb="FFB4C6E7"/>
      </top>
      <bottom/>
      <diagonal/>
    </border>
    <border>
      <left style="medium">
        <color rgb="FFB4C6E7"/>
      </left>
      <right style="medium">
        <color rgb="FFB4C6E7"/>
      </right>
      <top/>
      <bottom style="medium">
        <color rgb="FFB4C6E7"/>
      </bottom>
      <diagonal/>
    </border>
    <border>
      <left/>
      <right style="medium">
        <color rgb="FFB4C6E7"/>
      </right>
      <top style="medium">
        <color rgb="FFB4C6E7"/>
      </top>
      <bottom/>
      <diagonal/>
    </border>
    <border>
      <left/>
      <right style="medium">
        <color rgb="FFB4C6E7"/>
      </right>
      <top/>
      <bottom style="medium">
        <color rgb="FFB4C6E7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8" tint="0.39997558519241921"/>
      </left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medium">
        <color rgb="FFB4C6E7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medium">
        <color rgb="FFB4C6E7"/>
      </top>
      <bottom/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 style="thin">
        <color theme="8" tint="0.39997558519241921"/>
      </left>
      <right style="thin">
        <color theme="0"/>
      </right>
      <top style="thin">
        <color theme="0"/>
      </top>
      <bottom/>
      <diagonal/>
    </border>
    <border>
      <left style="thin">
        <color theme="8" tint="0.39997558519241921"/>
      </left>
      <right style="thin">
        <color theme="0"/>
      </right>
      <top/>
      <bottom style="thin">
        <color theme="0"/>
      </bottom>
      <diagonal/>
    </border>
  </borders>
  <cellStyleXfs count="8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4" fillId="7" borderId="0" applyNumberFormat="0" applyBorder="0" applyAlignment="0" applyProtection="0"/>
    <xf numFmtId="0" fontId="13" fillId="0" borderId="0" applyNumberFormat="0" applyFill="0" applyBorder="0" applyAlignment="0" applyProtection="0"/>
  </cellStyleXfs>
  <cellXfs count="168">
    <xf numFmtId="0" fontId="0" fillId="0" borderId="0" xfId="0"/>
    <xf numFmtId="0" fontId="6" fillId="8" borderId="0" xfId="0" applyFont="1" applyFill="1"/>
    <xf numFmtId="0" fontId="7" fillId="3" borderId="0" xfId="2" applyFont="1"/>
    <xf numFmtId="0" fontId="8" fillId="3" borderId="0" xfId="2" applyFont="1"/>
    <xf numFmtId="0" fontId="6" fillId="0" borderId="0" xfId="0" applyFont="1"/>
    <xf numFmtId="0" fontId="10" fillId="4" borderId="0" xfId="3" applyFont="1"/>
    <xf numFmtId="0" fontId="11" fillId="0" borderId="2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6" fillId="5" borderId="0" xfId="4" applyFont="1" applyAlignment="1">
      <alignment horizontal="center"/>
    </xf>
    <xf numFmtId="0" fontId="6" fillId="5" borderId="0" xfId="4" applyFont="1"/>
    <xf numFmtId="2" fontId="6" fillId="0" borderId="0" xfId="0" applyNumberFormat="1" applyFont="1"/>
    <xf numFmtId="2" fontId="6" fillId="8" borderId="0" xfId="0" applyNumberFormat="1" applyFont="1" applyFill="1"/>
    <xf numFmtId="0" fontId="14" fillId="3" borderId="0" xfId="2" applyFont="1" applyAlignment="1">
      <alignment horizontal="left" vertical="center" indent="3"/>
    </xf>
    <xf numFmtId="0" fontId="16" fillId="0" borderId="0" xfId="0" applyFont="1" applyAlignment="1">
      <alignment horizontal="center"/>
    </xf>
    <xf numFmtId="0" fontId="16" fillId="0" borderId="6" xfId="0" applyFont="1" applyBorder="1" applyAlignment="1">
      <alignment horizontal="center"/>
    </xf>
    <xf numFmtId="0" fontId="6" fillId="0" borderId="5" xfId="0" applyFont="1" applyBorder="1"/>
    <xf numFmtId="0" fontId="9" fillId="10" borderId="1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9" fillId="10" borderId="2" xfId="0" applyFont="1" applyFill="1" applyBorder="1" applyAlignment="1">
      <alignment horizontal="center" vertical="center" wrapText="1"/>
    </xf>
    <xf numFmtId="0" fontId="6" fillId="10" borderId="0" xfId="0" applyFont="1" applyFill="1"/>
    <xf numFmtId="0" fontId="18" fillId="10" borderId="8" xfId="0" applyFont="1" applyFill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right" vertical="center" wrapText="1"/>
    </xf>
    <xf numFmtId="0" fontId="21" fillId="0" borderId="8" xfId="0" applyFont="1" applyBorder="1" applyAlignment="1">
      <alignment horizontal="right" vertical="center" wrapText="1"/>
    </xf>
    <xf numFmtId="0" fontId="21" fillId="0" borderId="8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Continuous"/>
    </xf>
    <xf numFmtId="0" fontId="24" fillId="9" borderId="0" xfId="0" applyFont="1" applyFill="1"/>
    <xf numFmtId="0" fontId="14" fillId="2" borderId="0" xfId="1" applyFont="1"/>
    <xf numFmtId="0" fontId="12" fillId="0" borderId="9" xfId="0" applyFont="1" applyBorder="1"/>
    <xf numFmtId="0" fontId="27" fillId="10" borderId="0" xfId="0" applyFont="1" applyFill="1"/>
    <xf numFmtId="0" fontId="6" fillId="0" borderId="9" xfId="0" applyFont="1" applyBorder="1"/>
    <xf numFmtId="0" fontId="6" fillId="0" borderId="25" xfId="0" applyFont="1" applyBorder="1"/>
    <xf numFmtId="0" fontId="16" fillId="0" borderId="9" xfId="0" applyFont="1" applyBorder="1" applyAlignment="1">
      <alignment horizontal="center"/>
    </xf>
    <xf numFmtId="0" fontId="9" fillId="10" borderId="26" xfId="0" applyFont="1" applyFill="1" applyBorder="1" applyAlignment="1">
      <alignment horizontal="center" vertical="center" wrapText="1"/>
    </xf>
    <xf numFmtId="0" fontId="9" fillId="10" borderId="22" xfId="0" applyFont="1" applyFill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6" fillId="0" borderId="18" xfId="0" applyFont="1" applyBorder="1"/>
    <xf numFmtId="0" fontId="6" fillId="0" borderId="21" xfId="0" applyFont="1" applyBorder="1"/>
    <xf numFmtId="0" fontId="9" fillId="10" borderId="8" xfId="0" applyFont="1" applyFill="1" applyBorder="1" applyAlignment="1">
      <alignment horizontal="center" vertical="center" wrapText="1"/>
    </xf>
    <xf numFmtId="0" fontId="32" fillId="0" borderId="0" xfId="7" applyFont="1" applyAlignment="1">
      <alignment vertical="center"/>
    </xf>
    <xf numFmtId="0" fontId="6" fillId="0" borderId="12" xfId="0" applyFont="1" applyBorder="1"/>
    <xf numFmtId="0" fontId="6" fillId="0" borderId="19" xfId="0" applyFont="1" applyBorder="1"/>
    <xf numFmtId="0" fontId="6" fillId="0" borderId="10" xfId="0" applyFont="1" applyBorder="1"/>
    <xf numFmtId="0" fontId="6" fillId="11" borderId="8" xfId="0" applyFont="1" applyFill="1" applyBorder="1" applyAlignment="1">
      <alignment horizontal="center" wrapText="1"/>
    </xf>
    <xf numFmtId="0" fontId="16" fillId="0" borderId="7" xfId="0" applyFont="1" applyBorder="1" applyAlignment="1">
      <alignment horizontal="center"/>
    </xf>
    <xf numFmtId="0" fontId="6" fillId="0" borderId="16" xfId="0" applyFont="1" applyBorder="1"/>
    <xf numFmtId="0" fontId="6" fillId="0" borderId="11" xfId="0" applyFont="1" applyBorder="1"/>
    <xf numFmtId="0" fontId="6" fillId="0" borderId="14" xfId="0" applyFont="1" applyBorder="1"/>
    <xf numFmtId="0" fontId="6" fillId="0" borderId="17" xfId="0" applyFont="1" applyBorder="1"/>
    <xf numFmtId="0" fontId="18" fillId="10" borderId="23" xfId="0" applyFont="1" applyFill="1" applyBorder="1" applyAlignment="1">
      <alignment horizontal="center" vertical="center" wrapText="1"/>
    </xf>
    <xf numFmtId="0" fontId="21" fillId="0" borderId="23" xfId="0" applyFont="1" applyBorder="1" applyAlignment="1">
      <alignment horizontal="left" vertical="center" wrapText="1"/>
    </xf>
    <xf numFmtId="0" fontId="21" fillId="0" borderId="23" xfId="0" applyFont="1" applyBorder="1" applyAlignment="1">
      <alignment horizontal="right" vertical="center" wrapText="1"/>
    </xf>
    <xf numFmtId="0" fontId="6" fillId="0" borderId="9" xfId="0" applyFont="1" applyBorder="1" applyAlignment="1">
      <alignment horizontal="center"/>
    </xf>
    <xf numFmtId="0" fontId="24" fillId="9" borderId="0" xfId="2" applyFont="1" applyFill="1"/>
    <xf numFmtId="0" fontId="24" fillId="9" borderId="9" xfId="0" applyFont="1" applyFill="1" applyBorder="1"/>
    <xf numFmtId="0" fontId="6" fillId="9" borderId="0" xfId="4" applyFont="1" applyFill="1"/>
    <xf numFmtId="0" fontId="33" fillId="3" borderId="0" xfId="2" applyFont="1"/>
    <xf numFmtId="0" fontId="29" fillId="0" borderId="0" xfId="0" applyFont="1"/>
    <xf numFmtId="0" fontId="35" fillId="0" borderId="2" xfId="0" applyFont="1" applyBorder="1" applyAlignment="1">
      <alignment horizontal="center" vertical="center" wrapText="1"/>
    </xf>
    <xf numFmtId="0" fontId="35" fillId="0" borderId="4" xfId="0" applyFont="1" applyBorder="1" applyAlignment="1">
      <alignment horizontal="center" vertical="center" wrapText="1"/>
    </xf>
    <xf numFmtId="0" fontId="36" fillId="0" borderId="6" xfId="0" applyFont="1" applyBorder="1" applyAlignment="1">
      <alignment horizontal="centerContinuous"/>
    </xf>
    <xf numFmtId="0" fontId="29" fillId="0" borderId="5" xfId="0" applyFont="1" applyBorder="1"/>
    <xf numFmtId="0" fontId="36" fillId="0" borderId="6" xfId="0" applyFont="1" applyBorder="1" applyAlignment="1">
      <alignment horizontal="center"/>
    </xf>
    <xf numFmtId="0" fontId="34" fillId="10" borderId="1" xfId="0" applyFont="1" applyFill="1" applyBorder="1" applyAlignment="1">
      <alignment horizontal="center" vertical="center" wrapText="1"/>
    </xf>
    <xf numFmtId="0" fontId="34" fillId="10" borderId="3" xfId="0" applyFont="1" applyFill="1" applyBorder="1" applyAlignment="1">
      <alignment horizontal="center" vertical="center" wrapText="1"/>
    </xf>
    <xf numFmtId="0" fontId="29" fillId="8" borderId="0" xfId="0" applyFont="1" applyFill="1"/>
    <xf numFmtId="0" fontId="8" fillId="12" borderId="0" xfId="2" applyFont="1" applyFill="1"/>
    <xf numFmtId="0" fontId="15" fillId="12" borderId="0" xfId="2" applyFont="1" applyFill="1" applyBorder="1" applyAlignment="1">
      <alignment horizontal="center"/>
    </xf>
    <xf numFmtId="0" fontId="15" fillId="12" borderId="0" xfId="2" applyFont="1" applyFill="1" applyBorder="1"/>
    <xf numFmtId="0" fontId="15" fillId="12" borderId="0" xfId="2" applyFont="1" applyFill="1"/>
    <xf numFmtId="0" fontId="6" fillId="12" borderId="0" xfId="0" applyFont="1" applyFill="1"/>
    <xf numFmtId="0" fontId="8" fillId="13" borderId="0" xfId="2" applyFont="1" applyFill="1"/>
    <xf numFmtId="0" fontId="29" fillId="9" borderId="0" xfId="0" applyFont="1" applyFill="1"/>
    <xf numFmtId="0" fontId="25" fillId="9" borderId="5" xfId="0" applyFont="1" applyFill="1" applyBorder="1"/>
    <xf numFmtId="0" fontId="25" fillId="9" borderId="0" xfId="1" applyFont="1" applyFill="1"/>
    <xf numFmtId="0" fontId="6" fillId="0" borderId="0" xfId="0" applyFont="1" applyAlignment="1">
      <alignment horizontal="center" vertical="top" wrapText="1"/>
    </xf>
    <xf numFmtId="0" fontId="8" fillId="8" borderId="0" xfId="1" applyFont="1" applyFill="1"/>
    <xf numFmtId="0" fontId="25" fillId="0" borderId="0" xfId="0" applyFont="1"/>
    <xf numFmtId="0" fontId="26" fillId="0" borderId="25" xfId="0" applyFont="1" applyBorder="1"/>
    <xf numFmtId="0" fontId="37" fillId="0" borderId="0" xfId="7" quotePrefix="1" applyFont="1" applyFill="1" applyAlignment="1">
      <alignment horizontal="center"/>
    </xf>
    <xf numFmtId="0" fontId="37" fillId="0" borderId="9" xfId="7" quotePrefix="1" applyFont="1" applyBorder="1" applyAlignment="1">
      <alignment horizontal="center"/>
    </xf>
    <xf numFmtId="0" fontId="38" fillId="14" borderId="9" xfId="7" quotePrefix="1" applyFont="1" applyFill="1" applyBorder="1"/>
    <xf numFmtId="0" fontId="17" fillId="14" borderId="9" xfId="0" applyFont="1" applyFill="1" applyBorder="1" applyAlignment="1">
      <alignment wrapText="1"/>
    </xf>
    <xf numFmtId="0" fontId="29" fillId="0" borderId="9" xfId="0" applyFont="1" applyBorder="1"/>
    <xf numFmtId="0" fontId="25" fillId="0" borderId="9" xfId="0" applyFont="1" applyBorder="1"/>
    <xf numFmtId="0" fontId="30" fillId="0" borderId="9" xfId="0" applyFont="1" applyBorder="1"/>
    <xf numFmtId="0" fontId="29" fillId="9" borderId="9" xfId="0" applyFont="1" applyFill="1" applyBorder="1"/>
    <xf numFmtId="0" fontId="23" fillId="8" borderId="0" xfId="0" applyFont="1" applyFill="1" applyAlignment="1">
      <alignment vertical="top"/>
    </xf>
    <xf numFmtId="0" fontId="6" fillId="8" borderId="0" xfId="0" applyFont="1" applyFill="1" applyAlignment="1">
      <alignment vertical="top"/>
    </xf>
    <xf numFmtId="0" fontId="40" fillId="3" borderId="0" xfId="2" applyFont="1"/>
    <xf numFmtId="0" fontId="23" fillId="3" borderId="0" xfId="2" applyFont="1" applyAlignment="1">
      <alignment horizontal="left" vertical="center" indent="3"/>
    </xf>
    <xf numFmtId="0" fontId="23" fillId="13" borderId="0" xfId="2" applyFont="1" applyFill="1" applyAlignment="1">
      <alignment horizontal="left" vertical="center" indent="3"/>
    </xf>
    <xf numFmtId="0" fontId="31" fillId="6" borderId="24" xfId="5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right" vertical="center" wrapText="1"/>
    </xf>
    <xf numFmtId="0" fontId="11" fillId="0" borderId="18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8" fillId="8" borderId="9" xfId="1" applyFont="1" applyFill="1" applyBorder="1" applyAlignment="1">
      <alignment horizontal="center" vertical="center" wrapText="1"/>
    </xf>
    <xf numFmtId="0" fontId="8" fillId="8" borderId="9" xfId="1" applyFont="1" applyFill="1" applyBorder="1"/>
    <xf numFmtId="0" fontId="21" fillId="0" borderId="24" xfId="0" applyFont="1" applyBorder="1" applyAlignment="1">
      <alignment horizontal="right" vertical="center" wrapText="1"/>
    </xf>
    <xf numFmtId="0" fontId="21" fillId="0" borderId="24" xfId="0" applyFont="1" applyBorder="1" applyAlignment="1">
      <alignment horizontal="center" vertical="center" wrapText="1"/>
    </xf>
    <xf numFmtId="0" fontId="31" fillId="6" borderId="24" xfId="5" applyFont="1" applyBorder="1" applyAlignment="1">
      <alignment wrapText="1"/>
    </xf>
    <xf numFmtId="0" fontId="11" fillId="0" borderId="12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/>
    </xf>
    <xf numFmtId="0" fontId="21" fillId="0" borderId="21" xfId="0" applyFont="1" applyBorder="1" applyAlignment="1">
      <alignment horizontal="right" vertical="center" wrapText="1"/>
    </xf>
    <xf numFmtId="0" fontId="21" fillId="0" borderId="21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right" vertical="center" wrapText="1"/>
    </xf>
    <xf numFmtId="0" fontId="8" fillId="3" borderId="9" xfId="2" applyFont="1" applyBorder="1"/>
    <xf numFmtId="0" fontId="6" fillId="0" borderId="9" xfId="0" applyFont="1" applyBorder="1" applyAlignment="1">
      <alignment horizontal="justify" vertical="center"/>
    </xf>
    <xf numFmtId="0" fontId="41" fillId="14" borderId="9" xfId="7" quotePrefix="1" applyFont="1" applyFill="1" applyBorder="1"/>
    <xf numFmtId="0" fontId="23" fillId="6" borderId="24" xfId="5" applyFont="1" applyBorder="1" applyAlignment="1">
      <alignment horizontal="center" vertical="center" wrapText="1"/>
    </xf>
    <xf numFmtId="0" fontId="42" fillId="10" borderId="24" xfId="0" applyFont="1" applyFill="1" applyBorder="1" applyAlignment="1">
      <alignment vertical="center" wrapText="1"/>
    </xf>
    <xf numFmtId="0" fontId="40" fillId="6" borderId="24" xfId="5" applyFont="1" applyBorder="1" applyAlignment="1">
      <alignment horizontal="center" vertical="center" wrapText="1"/>
    </xf>
    <xf numFmtId="0" fontId="23" fillId="6" borderId="24" xfId="5" applyFont="1" applyBorder="1" applyAlignment="1">
      <alignment horizontal="center" vertical="top" wrapText="1"/>
    </xf>
    <xf numFmtId="2" fontId="6" fillId="6" borderId="24" xfId="5" applyNumberFormat="1" applyFont="1" applyBorder="1" applyAlignment="1">
      <alignment horizontal="center" vertical="center" wrapText="1"/>
    </xf>
    <xf numFmtId="2" fontId="6" fillId="6" borderId="24" xfId="5" applyNumberFormat="1" applyFont="1" applyBorder="1" applyAlignment="1">
      <alignment vertical="center" wrapText="1"/>
    </xf>
    <xf numFmtId="2" fontId="6" fillId="6" borderId="24" xfId="5" applyNumberFormat="1" applyFont="1" applyBorder="1" applyAlignment="1">
      <alignment vertical="top" wrapText="1"/>
    </xf>
    <xf numFmtId="2" fontId="22" fillId="6" borderId="24" xfId="5" applyNumberFormat="1" applyFont="1" applyBorder="1" applyAlignment="1">
      <alignment horizontal="center" vertical="center" wrapText="1"/>
    </xf>
    <xf numFmtId="2" fontId="22" fillId="6" borderId="24" xfId="5" applyNumberFormat="1" applyFont="1" applyBorder="1" applyAlignment="1">
      <alignment horizontal="center" wrapText="1"/>
    </xf>
    <xf numFmtId="0" fontId="9" fillId="10" borderId="24" xfId="0" applyFont="1" applyFill="1" applyBorder="1" applyAlignment="1">
      <alignment horizontal="center" vertical="center" wrapText="1"/>
    </xf>
    <xf numFmtId="0" fontId="23" fillId="3" borderId="0" xfId="2" applyFont="1"/>
    <xf numFmtId="0" fontId="6" fillId="0" borderId="9" xfId="0" applyFont="1" applyBorder="1" applyAlignment="1">
      <alignment horizontal="left"/>
    </xf>
    <xf numFmtId="0" fontId="45" fillId="0" borderId="9" xfId="0" applyFont="1" applyBorder="1" applyAlignment="1">
      <alignment horizontal="center"/>
    </xf>
    <xf numFmtId="0" fontId="45" fillId="8" borderId="0" xfId="0" applyFont="1" applyFill="1"/>
    <xf numFmtId="0" fontId="45" fillId="0" borderId="0" xfId="0" applyFont="1"/>
    <xf numFmtId="2" fontId="45" fillId="0" borderId="0" xfId="0" applyNumberFormat="1" applyFont="1"/>
    <xf numFmtId="0" fontId="6" fillId="0" borderId="0" xfId="0" applyFont="1" applyAlignment="1">
      <alignment horizontal="center"/>
    </xf>
    <xf numFmtId="2" fontId="6" fillId="0" borderId="0" xfId="0" applyNumberFormat="1" applyFont="1" applyAlignment="1">
      <alignment horizontal="center"/>
    </xf>
    <xf numFmtId="0" fontId="11" fillId="9" borderId="9" xfId="0" applyFont="1" applyFill="1" applyBorder="1" applyAlignment="1">
      <alignment horizontal="right" vertical="center" wrapText="1"/>
    </xf>
    <xf numFmtId="0" fontId="6" fillId="9" borderId="9" xfId="0" applyFont="1" applyFill="1" applyBorder="1" applyAlignment="1">
      <alignment horizontal="right"/>
    </xf>
    <xf numFmtId="0" fontId="11" fillId="9" borderId="24" xfId="0" applyFont="1" applyFill="1" applyBorder="1" applyAlignment="1">
      <alignment horizontal="center" vertical="center" wrapText="1"/>
    </xf>
    <xf numFmtId="0" fontId="21" fillId="9" borderId="24" xfId="0" applyFont="1" applyFill="1" applyBorder="1" applyAlignment="1">
      <alignment horizontal="left" vertical="center" wrapText="1"/>
    </xf>
    <xf numFmtId="0" fontId="27" fillId="0" borderId="9" xfId="0" applyFont="1" applyBorder="1" applyAlignment="1">
      <alignment horizontal="center"/>
    </xf>
    <xf numFmtId="0" fontId="28" fillId="0" borderId="0" xfId="0" applyFont="1"/>
    <xf numFmtId="0" fontId="49" fillId="0" borderId="8" xfId="0" applyFont="1" applyBorder="1" applyAlignment="1">
      <alignment horizontal="center" vertical="center" wrapText="1"/>
    </xf>
    <xf numFmtId="0" fontId="50" fillId="0" borderId="0" xfId="0" applyFont="1"/>
    <xf numFmtId="0" fontId="40" fillId="3" borderId="9" xfId="2" applyFont="1" applyBorder="1" applyAlignment="1">
      <alignment horizontal="left" vertical="center" indent="3"/>
    </xf>
    <xf numFmtId="0" fontId="21" fillId="9" borderId="9" xfId="0" applyFont="1" applyFill="1" applyBorder="1" applyAlignment="1">
      <alignment vertical="center"/>
    </xf>
    <xf numFmtId="0" fontId="6" fillId="9" borderId="9" xfId="0" applyFont="1" applyFill="1" applyBorder="1"/>
    <xf numFmtId="0" fontId="47" fillId="0" borderId="9" xfId="0" applyFont="1" applyBorder="1"/>
    <xf numFmtId="0" fontId="11" fillId="9" borderId="9" xfId="0" applyFont="1" applyFill="1" applyBorder="1" applyAlignment="1">
      <alignment horizontal="left" vertical="center" indent="5"/>
    </xf>
    <xf numFmtId="0" fontId="46" fillId="0" borderId="9" xfId="0" applyFont="1" applyBorder="1"/>
    <xf numFmtId="0" fontId="51" fillId="8" borderId="8" xfId="0" applyFont="1" applyFill="1" applyBorder="1" applyAlignment="1">
      <alignment horizontal="center" vertical="center" wrapText="1"/>
    </xf>
    <xf numFmtId="0" fontId="13" fillId="0" borderId="9" xfId="7" applyBorder="1"/>
    <xf numFmtId="0" fontId="13" fillId="15" borderId="9" xfId="7" applyFill="1" applyBorder="1"/>
    <xf numFmtId="0" fontId="13" fillId="14" borderId="9" xfId="7" applyFill="1" applyBorder="1" applyAlignment="1">
      <alignment wrapText="1"/>
    </xf>
    <xf numFmtId="0" fontId="6" fillId="8" borderId="0" xfId="0" applyFont="1" applyFill="1" applyAlignment="1">
      <alignment horizontal="left" vertical="center" wrapText="1"/>
    </xf>
    <xf numFmtId="0" fontId="25" fillId="0" borderId="20" xfId="0" applyFont="1" applyBorder="1" applyAlignment="1">
      <alignment horizontal="left"/>
    </xf>
    <xf numFmtId="0" fontId="25" fillId="0" borderId="27" xfId="0" applyFont="1" applyBorder="1" applyAlignment="1">
      <alignment horizontal="left"/>
    </xf>
    <xf numFmtId="0" fontId="25" fillId="0" borderId="23" xfId="0" applyFont="1" applyBorder="1" applyAlignment="1">
      <alignment horizontal="left"/>
    </xf>
    <xf numFmtId="0" fontId="23" fillId="8" borderId="13" xfId="0" applyFont="1" applyFill="1" applyBorder="1" applyAlignment="1">
      <alignment horizontal="left" vertical="top" wrapText="1"/>
    </xf>
    <xf numFmtId="0" fontId="23" fillId="8" borderId="0" xfId="0" applyFont="1" applyFill="1" applyAlignment="1">
      <alignment horizontal="left" vertical="top" wrapText="1"/>
    </xf>
    <xf numFmtId="0" fontId="26" fillId="8" borderId="8" xfId="0" applyFont="1" applyFill="1" applyBorder="1" applyAlignment="1">
      <alignment horizontal="center"/>
    </xf>
    <xf numFmtId="0" fontId="6" fillId="8" borderId="28" xfId="0" applyFont="1" applyFill="1" applyBorder="1" applyAlignment="1">
      <alignment horizontal="center" vertical="top" wrapText="1"/>
    </xf>
    <xf numFmtId="0" fontId="6" fillId="8" borderId="29" xfId="0" applyFont="1" applyFill="1" applyBorder="1" applyAlignment="1">
      <alignment horizontal="center" vertical="top" wrapText="1"/>
    </xf>
    <xf numFmtId="0" fontId="23" fillId="8" borderId="0" xfId="6" applyFont="1" applyFill="1" applyAlignment="1">
      <alignment horizontal="center"/>
    </xf>
    <xf numFmtId="0" fontId="6" fillId="10" borderId="0" xfId="0" applyFont="1" applyFill="1" applyAlignment="1">
      <alignment horizontal="left" vertical="top" wrapText="1"/>
    </xf>
    <xf numFmtId="0" fontId="9" fillId="0" borderId="17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8" fillId="3" borderId="19" xfId="2" applyFont="1" applyBorder="1" applyAlignment="1">
      <alignment horizontal="center" wrapText="1"/>
    </xf>
    <xf numFmtId="0" fontId="8" fillId="3" borderId="21" xfId="2" applyFont="1" applyBorder="1" applyAlignment="1">
      <alignment horizontal="center" wrapText="1"/>
    </xf>
    <xf numFmtId="0" fontId="48" fillId="9" borderId="9" xfId="0" applyFont="1" applyFill="1" applyBorder="1" applyAlignment="1">
      <alignment horizontal="center" vertical="center" wrapText="1"/>
    </xf>
    <xf numFmtId="0" fontId="30" fillId="0" borderId="10" xfId="0" applyFont="1" applyBorder="1" applyAlignment="1">
      <alignment horizontal="center" vertical="top" wrapText="1"/>
    </xf>
    <xf numFmtId="0" fontId="30" fillId="0" borderId="12" xfId="0" applyFont="1" applyBorder="1" applyAlignment="1">
      <alignment horizontal="center" vertical="top" wrapText="1"/>
    </xf>
    <xf numFmtId="0" fontId="30" fillId="0" borderId="15" xfId="0" applyFont="1" applyBorder="1" applyAlignment="1">
      <alignment horizontal="center" vertical="top" wrapText="1"/>
    </xf>
    <xf numFmtId="0" fontId="30" fillId="0" borderId="17" xfId="0" applyFont="1" applyBorder="1" applyAlignment="1">
      <alignment horizontal="center" vertical="top" wrapText="1"/>
    </xf>
    <xf numFmtId="0" fontId="6" fillId="8" borderId="0" xfId="0" applyFont="1" applyFill="1" applyAlignment="1">
      <alignment horizontal="left" vertical="top" wrapText="1"/>
    </xf>
  </cellXfs>
  <cellStyles count="8">
    <cellStyle name="20% - Accent1" xfId="4" builtinId="30"/>
    <cellStyle name="20% - Accent3" xfId="5" builtinId="38"/>
    <cellStyle name="Accent1" xfId="3" builtinId="29"/>
    <cellStyle name="Accent4" xfId="6" builtinId="41"/>
    <cellStyle name="Good" xfId="1" builtinId="26"/>
    <cellStyle name="Hyperlink" xfId="7" builtinId="8"/>
    <cellStyle name="Neutral" xfId="2" builtinId="28"/>
    <cellStyle name="Normal" xfId="0" builtinId="0"/>
  </cellStyles>
  <dxfs count="8"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bg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600"/>
              <a:t>Legatura dintre distanța parcursa in momentul franarii si viteza autoturismului</a:t>
            </a:r>
          </a:p>
        </c:rich>
      </c:tx>
      <c:layout>
        <c:manualLayout>
          <c:xMode val="edge"/>
          <c:yMode val="edge"/>
          <c:x val="0.19272222222222221"/>
          <c:y val="3.9113428943937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bg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R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'Cerinta 3'!$C$4:$C$5</c:f>
              <c:strCache>
                <c:ptCount val="2"/>
                <c:pt idx="0">
                  <c:v>Distanța totală de oprire </c:v>
                </c:pt>
                <c:pt idx="1">
                  <c:v>(m)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2453741737339011"/>
                  <c:y val="0.1076210742103547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rgbClr val="C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RO"/>
                </a:p>
              </c:txPr>
            </c:trendlineLbl>
          </c:trendline>
          <c:xVal>
            <c:numRef>
              <c:f>'Cerinta 3'!$B$6:$B$19</c:f>
              <c:numCache>
                <c:formatCode>General</c:formatCode>
                <c:ptCount val="14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</c:numCache>
            </c:numRef>
          </c:xVal>
          <c:yVal>
            <c:numRef>
              <c:f>'Cerinta 3'!$C$6:$C$19</c:f>
              <c:numCache>
                <c:formatCode>General</c:formatCode>
                <c:ptCount val="14"/>
                <c:pt idx="0">
                  <c:v>4.2699999999999996</c:v>
                </c:pt>
                <c:pt idx="1">
                  <c:v>8.5500000000000007</c:v>
                </c:pt>
                <c:pt idx="2">
                  <c:v>15.32</c:v>
                </c:pt>
                <c:pt idx="3">
                  <c:v>23.11</c:v>
                </c:pt>
                <c:pt idx="4">
                  <c:v>32.880000000000003</c:v>
                </c:pt>
                <c:pt idx="5">
                  <c:v>43.65</c:v>
                </c:pt>
                <c:pt idx="6">
                  <c:v>56.4</c:v>
                </c:pt>
                <c:pt idx="7">
                  <c:v>70.22</c:v>
                </c:pt>
                <c:pt idx="8">
                  <c:v>86</c:v>
                </c:pt>
                <c:pt idx="9">
                  <c:v>105.8</c:v>
                </c:pt>
                <c:pt idx="10">
                  <c:v>120.55</c:v>
                </c:pt>
                <c:pt idx="11">
                  <c:v>141.33000000000001</c:v>
                </c:pt>
                <c:pt idx="12">
                  <c:v>166.11</c:v>
                </c:pt>
                <c:pt idx="13">
                  <c:v>185.88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2C-4436-BB5C-E9DB28E1C1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5637200"/>
        <c:axId val="651264464"/>
      </c:scatterChart>
      <c:valAx>
        <c:axId val="645637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km/ora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R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RO"/>
          </a:p>
        </c:txPr>
        <c:crossAx val="651264464"/>
        <c:crosses val="autoZero"/>
        <c:crossBetween val="midCat"/>
      </c:valAx>
      <c:valAx>
        <c:axId val="65126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metri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R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RO"/>
          </a:p>
        </c:txPr>
        <c:crossAx val="645637200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R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bg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600"/>
              <a:t>Legatura dintre distanța parcursa in momentul franarii si viteza autoturismului</a:t>
            </a:r>
          </a:p>
        </c:rich>
      </c:tx>
      <c:layout>
        <c:manualLayout>
          <c:xMode val="edge"/>
          <c:yMode val="edge"/>
          <c:x val="0.12555171000350399"/>
          <c:y val="4.18682891911238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bg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R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'Cerinta 3'!$C$4:$C$5</c:f>
              <c:strCache>
                <c:ptCount val="2"/>
                <c:pt idx="0">
                  <c:v>Distanța totală de oprire </c:v>
                </c:pt>
                <c:pt idx="1">
                  <c:v>(m)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13740587212492644"/>
                  <c:y val="5.436563198195267E-2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rgbClr val="FF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RO"/>
                </a:p>
              </c:txPr>
            </c:trendlineLbl>
          </c:trendline>
          <c:xVal>
            <c:numRef>
              <c:f>'Cerinta 3'!$B$6:$B$19</c:f>
              <c:numCache>
                <c:formatCode>General</c:formatCode>
                <c:ptCount val="14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</c:numCache>
            </c:numRef>
          </c:xVal>
          <c:yVal>
            <c:numRef>
              <c:f>'Cerinta 3'!$C$6:$C$19</c:f>
              <c:numCache>
                <c:formatCode>General</c:formatCode>
                <c:ptCount val="14"/>
                <c:pt idx="0">
                  <c:v>4.2699999999999996</c:v>
                </c:pt>
                <c:pt idx="1">
                  <c:v>8.5500000000000007</c:v>
                </c:pt>
                <c:pt idx="2">
                  <c:v>15.32</c:v>
                </c:pt>
                <c:pt idx="3">
                  <c:v>23.11</c:v>
                </c:pt>
                <c:pt idx="4">
                  <c:v>32.880000000000003</c:v>
                </c:pt>
                <c:pt idx="5">
                  <c:v>43.65</c:v>
                </c:pt>
                <c:pt idx="6">
                  <c:v>56.4</c:v>
                </c:pt>
                <c:pt idx="7">
                  <c:v>70.22</c:v>
                </c:pt>
                <c:pt idx="8">
                  <c:v>86</c:v>
                </c:pt>
                <c:pt idx="9">
                  <c:v>105.8</c:v>
                </c:pt>
                <c:pt idx="10">
                  <c:v>120.55</c:v>
                </c:pt>
                <c:pt idx="11">
                  <c:v>141.33000000000001</c:v>
                </c:pt>
                <c:pt idx="12">
                  <c:v>166.11</c:v>
                </c:pt>
                <c:pt idx="13">
                  <c:v>185.88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FC-DA4C-88B3-D33FB5B66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5637200"/>
        <c:axId val="651264464"/>
      </c:scatterChart>
      <c:valAx>
        <c:axId val="645637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km/ora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R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RO"/>
          </a:p>
        </c:txPr>
        <c:crossAx val="651264464"/>
        <c:crosses val="autoZero"/>
        <c:crossBetween val="midCat"/>
      </c:valAx>
      <c:valAx>
        <c:axId val="65126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metri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R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RO"/>
          </a:p>
        </c:txPr>
        <c:crossAx val="645637200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R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accent5">
                    <a:lumMod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GB" sz="1800" b="1">
                <a:solidFill>
                  <a:schemeClr val="accent5">
                    <a:lumMod val="50000"/>
                  </a:schemeClr>
                </a:solidFill>
              </a:rPr>
              <a:t>Scenarii de estimare a distanței de franare în funcție de viteză</a:t>
            </a:r>
            <a:r>
              <a:rPr lang="en-GB" sz="1800" b="1" baseline="0">
                <a:solidFill>
                  <a:schemeClr val="accent5">
                    <a:lumMod val="50000"/>
                  </a:schemeClr>
                </a:solidFill>
              </a:rPr>
              <a:t> (140-180 km/h)</a:t>
            </a:r>
            <a:endParaRPr lang="en-GB" sz="1800" b="1">
              <a:solidFill>
                <a:schemeClr val="accent5">
                  <a:lumMod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accent5">
                  <a:lumMod val="50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0.1092349412667197"/>
          <c:y val="0.13129830638177903"/>
          <c:w val="0.87312231506886728"/>
          <c:h val="0.67790778070899704"/>
        </c:manualLayout>
      </c:layout>
      <c:lineChart>
        <c:grouping val="standard"/>
        <c:varyColors val="0"/>
        <c:ser>
          <c:idx val="0"/>
          <c:order val="0"/>
          <c:tx>
            <c:strRef>
              <c:f>[1]Sheet4!$B$1</c:f>
              <c:strCache>
                <c:ptCount val="1"/>
                <c:pt idx="0">
                  <c:v>Values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[1]Sheet4!$B$2:$B$19</c:f>
              <c:numCache>
                <c:formatCode>General</c:formatCode>
                <c:ptCount val="18"/>
                <c:pt idx="0">
                  <c:v>4.2699999999999996</c:v>
                </c:pt>
                <c:pt idx="1">
                  <c:v>8.5500000000000007</c:v>
                </c:pt>
                <c:pt idx="2">
                  <c:v>15.32</c:v>
                </c:pt>
                <c:pt idx="3">
                  <c:v>23.11</c:v>
                </c:pt>
                <c:pt idx="4">
                  <c:v>32.880000000000003</c:v>
                </c:pt>
                <c:pt idx="5">
                  <c:v>43.65</c:v>
                </c:pt>
                <c:pt idx="6">
                  <c:v>56.4</c:v>
                </c:pt>
                <c:pt idx="7">
                  <c:v>70.22</c:v>
                </c:pt>
                <c:pt idx="8">
                  <c:v>86</c:v>
                </c:pt>
                <c:pt idx="9">
                  <c:v>105.8</c:v>
                </c:pt>
                <c:pt idx="10">
                  <c:v>120.55</c:v>
                </c:pt>
                <c:pt idx="11">
                  <c:v>141.33000000000001</c:v>
                </c:pt>
                <c:pt idx="12">
                  <c:v>166.11</c:v>
                </c:pt>
                <c:pt idx="13">
                  <c:v>185.88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00-B645-8EE6-B6451E2B10B2}"/>
            </c:ext>
          </c:extLst>
        </c:ser>
        <c:ser>
          <c:idx val="1"/>
          <c:order val="1"/>
          <c:tx>
            <c:strRef>
              <c:f>[1]Sheet4!$C$1</c:f>
              <c:strCache>
                <c:ptCount val="1"/>
                <c:pt idx="0">
                  <c:v>Forecast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[1]Sheet4!$A$2:$A$19</c:f>
              <c:numCache>
                <c:formatCode>General</c:formatCode>
                <c:ptCount val="1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</c:numCache>
            </c:numRef>
          </c:cat>
          <c:val>
            <c:numRef>
              <c:f>[1]Sheet4!$C$2:$C$19</c:f>
              <c:numCache>
                <c:formatCode>General</c:formatCode>
                <c:ptCount val="18"/>
                <c:pt idx="13">
                  <c:v>185.88</c:v>
                </c:pt>
                <c:pt idx="14">
                  <c:v>207.07292856355744</c:v>
                </c:pt>
                <c:pt idx="15">
                  <c:v>227.825960875248</c:v>
                </c:pt>
                <c:pt idx="16">
                  <c:v>248.57899318693853</c:v>
                </c:pt>
                <c:pt idx="17">
                  <c:v>269.33202549862909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00-B645-8EE6-B6451E2B10B2}"/>
            </c:ext>
          </c:extLst>
        </c:ser>
        <c:ser>
          <c:idx val="2"/>
          <c:order val="2"/>
          <c:tx>
            <c:strRef>
              <c:f>[1]Sheet4!$D$1</c:f>
              <c:strCache>
                <c:ptCount val="1"/>
                <c:pt idx="0">
                  <c:v>Lower Confidence Bound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[1]Sheet4!$A$2:$A$19</c:f>
              <c:numCache>
                <c:formatCode>General</c:formatCode>
                <c:ptCount val="1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</c:numCache>
            </c:numRef>
          </c:cat>
          <c:val>
            <c:numRef>
              <c:f>[1]Sheet4!$D$2:$D$19</c:f>
              <c:numCache>
                <c:formatCode>General</c:formatCode>
                <c:ptCount val="18"/>
                <c:pt idx="13">
                  <c:v>185.88</c:v>
                </c:pt>
                <c:pt idx="14">
                  <c:v>199.18878653141891</c:v>
                </c:pt>
                <c:pt idx="15">
                  <c:v>211.59841033527942</c:v>
                </c:pt>
                <c:pt idx="16">
                  <c:v>221.82443280457932</c:v>
                </c:pt>
                <c:pt idx="17">
                  <c:v>230.34415474347253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00-B645-8EE6-B6451E2B10B2}"/>
            </c:ext>
          </c:extLst>
        </c:ser>
        <c:ser>
          <c:idx val="3"/>
          <c:order val="3"/>
          <c:tx>
            <c:strRef>
              <c:f>[1]Sheet4!$E$1</c:f>
              <c:strCache>
                <c:ptCount val="1"/>
                <c:pt idx="0">
                  <c:v>Upper Confidence Bound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[1]Sheet4!$A$2:$A$19</c:f>
              <c:numCache>
                <c:formatCode>General</c:formatCode>
                <c:ptCount val="1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</c:numCache>
            </c:numRef>
          </c:cat>
          <c:val>
            <c:numRef>
              <c:f>[1]Sheet4!$E$2:$E$19</c:f>
              <c:numCache>
                <c:formatCode>General</c:formatCode>
                <c:ptCount val="18"/>
                <c:pt idx="13">
                  <c:v>185.88</c:v>
                </c:pt>
                <c:pt idx="14">
                  <c:v>214.95707059569597</c:v>
                </c:pt>
                <c:pt idx="15">
                  <c:v>244.05351141521658</c:v>
                </c:pt>
                <c:pt idx="16">
                  <c:v>275.33355356929775</c:v>
                </c:pt>
                <c:pt idx="17">
                  <c:v>308.31989625378566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A00-B645-8EE6-B6451E2B10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2617359"/>
        <c:axId val="1138627407"/>
      </c:lineChart>
      <c:catAx>
        <c:axId val="11726173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accen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/>
                  <a:t>km/h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accent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RO"/>
            </a:p>
          </c:txPr>
        </c:title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accent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RO"/>
          </a:p>
        </c:txPr>
        <c:crossAx val="1138627407"/>
        <c:crosses val="autoZero"/>
        <c:auto val="1"/>
        <c:lblAlgn val="ctr"/>
        <c:lblOffset val="100"/>
        <c:noMultiLvlLbl val="0"/>
      </c:catAx>
      <c:valAx>
        <c:axId val="113862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accen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/>
                  <a:t>metri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accent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R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accent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RO"/>
          </a:p>
        </c:txPr>
        <c:crossAx val="1172617359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accent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R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chemeClr val="accent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R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w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wmf"/><Relationship Id="rId2" Type="http://schemas.openxmlformats.org/officeDocument/2006/relationships/image" Target="../media/image2.wmf"/><Relationship Id="rId1" Type="http://schemas.openxmlformats.org/officeDocument/2006/relationships/image" Target="../media/image1.w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7.wmf"/><Relationship Id="rId2" Type="http://schemas.openxmlformats.org/officeDocument/2006/relationships/image" Target="../media/image6.wmf"/><Relationship Id="rId1" Type="http://schemas.openxmlformats.org/officeDocument/2006/relationships/image" Target="../media/image5.wmf"/><Relationship Id="rId4" Type="http://schemas.openxmlformats.org/officeDocument/2006/relationships/image" Target="../media/image8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330200</xdr:colOff>
      <xdr:row>2</xdr:row>
      <xdr:rowOff>292100</xdr:rowOff>
    </xdr:from>
    <xdr:to>
      <xdr:col>19</xdr:col>
      <xdr:colOff>30480</xdr:colOff>
      <xdr:row>19</xdr:row>
      <xdr:rowOff>190500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114300</xdr:colOff>
      <xdr:row>13</xdr:row>
      <xdr:rowOff>114300</xdr:rowOff>
    </xdr:from>
    <xdr:to>
      <xdr:col>9</xdr:col>
      <xdr:colOff>2674937</xdr:colOff>
      <xdr:row>16</xdr:row>
      <xdr:rowOff>156428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Object 1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:cNvPr>
            <xdr:cNvSpPr txBox="1"/>
          </xdr:nvSpPr>
          <xdr:spPr>
            <a:xfrm>
              <a:off x="5547360" y="3802380"/>
              <a:ext cx="2560637" cy="659348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US" sz="16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16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6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nary>
                          <m:naryPr>
                            <m:chr m:val="∑"/>
                            <m:subHide m:val="on"/>
                            <m:supHide m:val="on"/>
                            <m:ctrlPr>
                              <a:rPr lang="en-US" sz="16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naryPr>
                          <m:sub/>
                          <m:sup/>
                          <m:e>
                            <m:sSub>
                              <m:sSubPr>
                                <m:ctrlPr>
                                  <a:rPr lang="en-US" sz="16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6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  <m:t>𝑦</m:t>
                                </m:r>
                              </m:e>
                              <m:sub>
                                <m:r>
                                  <a:rPr lang="en-US" sz="16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nary>
                        <m:nary>
                          <m:naryPr>
                            <m:chr m:val="∑"/>
                            <m:subHide m:val="on"/>
                            <m:supHide m:val="on"/>
                            <m:ctrlPr>
                              <a:rPr lang="en-US" sz="16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naryPr>
                          <m:sub/>
                          <m:sup/>
                          <m:e>
                            <m:sSubSup>
                              <m:sSubSupPr>
                                <m:ctrlPr>
                                  <a:rPr lang="en-US" sz="16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sz="16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6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  <m:sup>
                                <m:r>
                                  <a:rPr lang="en-US" sz="16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e>
                        </m:nary>
                        <m:r>
                          <a:rPr lang="en-US" sz="16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−</m:t>
                        </m:r>
                        <m:nary>
                          <m:naryPr>
                            <m:chr m:val="∑"/>
                            <m:subHide m:val="on"/>
                            <m:supHide m:val="on"/>
                            <m:ctrlPr>
                              <a:rPr lang="en-US" sz="16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naryPr>
                          <m:sub/>
                          <m:sup/>
                          <m:e>
                            <m:sSub>
                              <m:sSubPr>
                                <m:ctrlPr>
                                  <a:rPr lang="en-US" sz="16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6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6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sSub>
                              <m:sSubPr>
                                <m:ctrlPr>
                                  <a:rPr lang="en-US" sz="16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6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  <m:t>𝑦</m:t>
                                </m:r>
                              </m:e>
                              <m:sub>
                                <m:r>
                                  <a:rPr lang="en-US" sz="16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nary>
                        <m:nary>
                          <m:naryPr>
                            <m:chr m:val="∑"/>
                            <m:subHide m:val="on"/>
                            <m:supHide m:val="on"/>
                            <m:ctrlPr>
                              <a:rPr lang="en-US" sz="16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naryPr>
                          <m:sub/>
                          <m:sup/>
                          <m:e>
                            <m:sSub>
                              <m:sSubPr>
                                <m:ctrlPr>
                                  <a:rPr lang="en-US" sz="16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6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6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nary>
                      </m:num>
                      <m:den>
                        <m:r>
                          <a:rPr lang="en-US" sz="16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𝑛</m:t>
                        </m:r>
                        <m:nary>
                          <m:naryPr>
                            <m:chr m:val="∑"/>
                            <m:subHide m:val="on"/>
                            <m:supHide m:val="on"/>
                            <m:ctrlPr>
                              <a:rPr lang="en-US" sz="16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naryPr>
                          <m:sub/>
                          <m:sup/>
                          <m:e>
                            <m:sSubSup>
                              <m:sSubSupPr>
                                <m:ctrlPr>
                                  <a:rPr lang="en-US" sz="16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sz="16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6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  <m:sup>
                                <m:r>
                                  <a:rPr lang="en-US" sz="16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e>
                        </m:nary>
                        <m:r>
                          <a:rPr lang="en-US" sz="16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−(</m:t>
                        </m:r>
                        <m:nary>
                          <m:naryPr>
                            <m:chr m:val="∑"/>
                            <m:subHide m:val="on"/>
                            <m:supHide m:val="on"/>
                            <m:ctrlPr>
                              <a:rPr lang="en-US" sz="16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naryPr>
                          <m:sub/>
                          <m:sup/>
                          <m:e>
                            <m:sSub>
                              <m:sSubPr>
                                <m:ctrlPr>
                                  <a:rPr lang="en-US" sz="16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6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6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sSup>
                              <m:sSupPr>
                                <m:ctrlPr>
                                  <a:rPr lang="en-US" sz="16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sz="16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  <m:t>)</m:t>
                                </m:r>
                              </m:e>
                              <m:sup>
                                <m:r>
                                  <a:rPr lang="en-US" sz="16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nary>
                      </m:den>
                    </m:f>
                  </m:oMath>
                </m:oMathPara>
              </a14:m>
              <a:endParaRPr lang="en-US" sz="1600"/>
            </a:p>
          </xdr:txBody>
        </xdr:sp>
      </mc:Choice>
      <mc:Fallback xmlns="">
        <xdr:sp macro="" textlink="">
          <xdr:nvSpPr>
            <xdr:cNvPr id="7" name="Object 1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 txBox="1"/>
          </xdr:nvSpPr>
          <xdr:spPr>
            <a:xfrm>
              <a:off x="5547360" y="3802380"/>
              <a:ext cx="2560637" cy="659348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pPr/>
              <a:r>
                <a:rPr lang="en-US" sz="160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𝑎=(∑▒𝑦_𝑖  ∑▒𝑥_𝑖^2 −∑▒〖𝑥_𝑖 𝑦_𝑖 〗 ∑▒𝑥_𝑖 )/(𝑛∑▒𝑥_𝑖^2 −(∑▒〖𝑥_𝑖 )^2 〗)</a:t>
              </a:r>
              <a:endParaRPr lang="en-US" sz="1600"/>
            </a:p>
          </xdr:txBody>
        </xdr:sp>
      </mc:Fallback>
    </mc:AlternateContent>
    <xdr:clientData/>
  </xdr:twoCellAnchor>
  <xdr:twoCellAnchor>
    <xdr:from>
      <xdr:col>9</xdr:col>
      <xdr:colOff>213360</xdr:colOff>
      <xdr:row>16</xdr:row>
      <xdr:rowOff>152400</xdr:rowOff>
    </xdr:from>
    <xdr:to>
      <xdr:col>10</xdr:col>
      <xdr:colOff>281940</xdr:colOff>
      <xdr:row>20</xdr:row>
      <xdr:rowOff>8282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Object 2">
              <a:extLst>
                <a:ext uri="{FF2B5EF4-FFF2-40B4-BE49-F238E27FC236}">
                  <a16:creationId xmlns:a16="http://schemas.microsoft.com/office/drawing/2014/main" id="{00000000-0008-0000-0200-000008000000}"/>
                </a:ext>
              </a:extLst>
            </xdr:cNvPr>
            <xdr:cNvSpPr txBox="1"/>
          </xdr:nvSpPr>
          <xdr:spPr>
            <a:xfrm>
              <a:off x="5646420" y="4457700"/>
              <a:ext cx="2865120" cy="633122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US" sz="16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𝑏</m:t>
                    </m:r>
                    <m:r>
                      <a:rPr lang="en-US" sz="160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6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6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𝑛</m:t>
                        </m:r>
                        <m:nary>
                          <m:naryPr>
                            <m:chr m:val="∑"/>
                            <m:subHide m:val="on"/>
                            <m:supHide m:val="on"/>
                            <m:ctrlPr>
                              <a:rPr lang="en-US" sz="16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naryPr>
                          <m:sub/>
                          <m:sup/>
                          <m:e>
                            <m:sSub>
                              <m:sSubPr>
                                <m:ctrlPr>
                                  <a:rPr lang="en-US" sz="16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6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6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sSub>
                              <m:sSubPr>
                                <m:ctrlPr>
                                  <a:rPr lang="en-US" sz="16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6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  <m:t>𝑦</m:t>
                                </m:r>
                              </m:e>
                              <m:sub>
                                <m:r>
                                  <a:rPr lang="en-US" sz="16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nary>
                        <m:r>
                          <a:rPr lang="en-US" sz="16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−</m:t>
                        </m:r>
                        <m:nary>
                          <m:naryPr>
                            <m:chr m:val="∑"/>
                            <m:subHide m:val="on"/>
                            <m:supHide m:val="on"/>
                            <m:ctrlPr>
                              <a:rPr lang="en-US" sz="16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naryPr>
                          <m:sub/>
                          <m:sup/>
                          <m:e>
                            <m:sSub>
                              <m:sSubPr>
                                <m:ctrlPr>
                                  <a:rPr lang="en-US" sz="16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6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6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nary>
                        <m:nary>
                          <m:naryPr>
                            <m:chr m:val="∑"/>
                            <m:subHide m:val="on"/>
                            <m:supHide m:val="on"/>
                            <m:ctrlPr>
                              <a:rPr lang="en-US" sz="16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naryPr>
                          <m:sub/>
                          <m:sup/>
                          <m:e>
                            <m:sSub>
                              <m:sSubPr>
                                <m:ctrlPr>
                                  <a:rPr lang="en-US" sz="16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6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  <m:t>𝑦</m:t>
                                </m:r>
                              </m:e>
                              <m:sub>
                                <m:r>
                                  <a:rPr lang="en-US" sz="16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nary>
                      </m:num>
                      <m:den>
                        <m:r>
                          <a:rPr lang="en-US" sz="16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𝑛</m:t>
                        </m:r>
                        <m:nary>
                          <m:naryPr>
                            <m:chr m:val="∑"/>
                            <m:subHide m:val="on"/>
                            <m:supHide m:val="on"/>
                            <m:ctrlPr>
                              <a:rPr lang="en-US" sz="16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naryPr>
                          <m:sub/>
                          <m:sup/>
                          <m:e>
                            <m:sSubSup>
                              <m:sSubSupPr>
                                <m:ctrlPr>
                                  <a:rPr lang="en-US" sz="16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sz="16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6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  <m:sup>
                                <m:r>
                                  <a:rPr lang="en-US" sz="16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e>
                        </m:nary>
                        <m:r>
                          <a:rPr lang="en-US" sz="16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−(</m:t>
                        </m:r>
                        <m:nary>
                          <m:naryPr>
                            <m:chr m:val="∑"/>
                            <m:subHide m:val="on"/>
                            <m:supHide m:val="on"/>
                            <m:ctrlPr>
                              <a:rPr lang="en-US" sz="1600" i="1">
                                <a:solidFill>
                                  <a:srgbClr val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naryPr>
                          <m:sub/>
                          <m:sup/>
                          <m:e>
                            <m:sSub>
                              <m:sSubPr>
                                <m:ctrlPr>
                                  <a:rPr lang="en-US" sz="16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6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6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sSup>
                              <m:sSupPr>
                                <m:ctrlPr>
                                  <a:rPr lang="en-US" sz="16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sz="16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  <m:t>)</m:t>
                                </m:r>
                              </m:e>
                              <m:sup>
                                <m:r>
                                  <a:rPr lang="en-US" sz="1600" i="1">
                                    <a:solidFill>
                                      <a:srgbClr val="000000"/>
                                    </a:solidFill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nary>
                      </m:den>
                    </m:f>
                  </m:oMath>
                </m:oMathPara>
              </a14:m>
              <a:endParaRPr lang="en-US" sz="1600"/>
            </a:p>
          </xdr:txBody>
        </xdr:sp>
      </mc:Choice>
      <mc:Fallback xmlns="">
        <xdr:sp macro="" textlink="">
          <xdr:nvSpPr>
            <xdr:cNvPr id="8" name="Object 2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SpPr txBox="1"/>
          </xdr:nvSpPr>
          <xdr:spPr>
            <a:xfrm>
              <a:off x="5646420" y="4457700"/>
              <a:ext cx="2865120" cy="633122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:pPr/>
              <a:r>
                <a:rPr lang="en-US" sz="160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𝑏=(𝑛∑▒〖𝑥_𝑖 𝑦_𝑖 〗−∑▒𝑥_𝑖  ∑▒𝑦_𝑖 )/(𝑛∑▒𝑥_𝑖^2 −(∑▒〖𝑥_𝑖 )^2 〗)</a:t>
              </a:r>
              <a:endParaRPr lang="en-US" sz="1600"/>
            </a:p>
          </xdr:txBody>
        </xdr:sp>
      </mc:Fallback>
    </mc:AlternateContent>
    <xdr:clientData/>
  </xdr:twoCellAnchor>
  <xdr:twoCellAnchor>
    <xdr:from>
      <xdr:col>11</xdr:col>
      <xdr:colOff>495300</xdr:colOff>
      <xdr:row>21</xdr:row>
      <xdr:rowOff>190500</xdr:rowOff>
    </xdr:from>
    <xdr:to>
      <xdr:col>19</xdr:col>
      <xdr:colOff>195580</xdr:colOff>
      <xdr:row>41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533400</xdr:colOff>
          <xdr:row>4</xdr:row>
          <xdr:rowOff>101600</xdr:rowOff>
        </xdr:from>
        <xdr:to>
          <xdr:col>12</xdr:col>
          <xdr:colOff>774700</xdr:colOff>
          <xdr:row>4</xdr:row>
          <xdr:rowOff>368300</xdr:rowOff>
        </xdr:to>
        <xdr:sp macro="" textlink="">
          <xdr:nvSpPr>
            <xdr:cNvPr id="3074" name="Object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3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177800</xdr:colOff>
          <xdr:row>4</xdr:row>
          <xdr:rowOff>177800</xdr:rowOff>
        </xdr:from>
        <xdr:to>
          <xdr:col>13</xdr:col>
          <xdr:colOff>368300</xdr:colOff>
          <xdr:row>4</xdr:row>
          <xdr:rowOff>393700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3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16</xdr:col>
      <xdr:colOff>330200</xdr:colOff>
      <xdr:row>8</xdr:row>
      <xdr:rowOff>7620</xdr:rowOff>
    </xdr:from>
    <xdr:to>
      <xdr:col>17</xdr:col>
      <xdr:colOff>635000</xdr:colOff>
      <xdr:row>10</xdr:row>
      <xdr:rowOff>86952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Object 3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 txBox="1"/>
          </xdr:nvSpPr>
          <xdr:spPr>
            <a:xfrm>
              <a:off x="14909800" y="2395220"/>
              <a:ext cx="2362200" cy="561932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14:m>
                <m:oMath xmlns:m="http://schemas.openxmlformats.org/officeDocument/2006/math">
                  <m:acc>
                    <m:accPr>
                      <m:chr m:val="̄"/>
                      <m:ctrlPr>
                        <a:rPr lang="en-US" sz="1600" i="1">
                          <a:solidFill>
                            <a:srgbClr val="000000"/>
                          </a:solidFill>
                          <a:latin typeface="Cambria Math" panose="02040503050406030204" pitchFamily="18" charset="0"/>
                        </a:rPr>
                      </m:ctrlPr>
                    </m:accPr>
                    <m:e>
                      <m:r>
                        <a:rPr lang="en-US" sz="1600" i="1">
                          <a:solidFill>
                            <a:srgbClr val="000000"/>
                          </a:solidFill>
                          <a:latin typeface="Cambria Math" panose="02040503050406030204" pitchFamily="18" charset="0"/>
                        </a:rPr>
                        <m:t>𝑦</m:t>
                      </m:r>
                    </m:e>
                  </m:acc>
                  <m:r>
                    <a:rPr lang="en-US" sz="1600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=</m:t>
                  </m:r>
                  <m:f>
                    <m:fPr>
                      <m:ctrlPr>
                        <a:rPr lang="en-US" sz="1600" i="1">
                          <a:solidFill>
                            <a:srgbClr val="000000"/>
                          </a:solidFill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1600" b="0" i="1">
                          <a:solidFill>
                            <a:srgbClr val="000000"/>
                          </a:solidFill>
                          <a:latin typeface="Cambria Math" panose="02040503050406030204" pitchFamily="18" charset="0"/>
                        </a:rPr>
                        <m:t>1060,07</m:t>
                      </m:r>
                    </m:num>
                    <m:den>
                      <m:r>
                        <a:rPr lang="en-US" sz="1600" b="0" i="1">
                          <a:solidFill>
                            <a:srgbClr val="000000"/>
                          </a:solidFill>
                          <a:latin typeface="Cambria Math" panose="02040503050406030204" pitchFamily="18" charset="0"/>
                        </a:rPr>
                        <m:t>14</m:t>
                      </m:r>
                    </m:den>
                  </m:f>
                  <m:r>
                    <a:rPr lang="en-US" sz="1600" i="1">
                      <a:solidFill>
                        <a:srgbClr val="000000"/>
                      </a:solidFill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600"/>
                <a:t> </a:t>
              </a:r>
              <a:r>
                <a:rPr lang="en-US" sz="1400"/>
                <a:t>75,71 metri</a:t>
              </a:r>
            </a:p>
            <a:p>
              <a:endParaRPr lang="en-US"/>
            </a:p>
          </xdr:txBody>
        </xdr:sp>
      </mc:Choice>
      <mc:Fallback xmlns="">
        <xdr:sp macro="" textlink="">
          <xdr:nvSpPr>
            <xdr:cNvPr id="4" name="Object 3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 txBox="1"/>
          </xdr:nvSpPr>
          <xdr:spPr>
            <a:xfrm>
              <a:off x="14909800" y="2395220"/>
              <a:ext cx="2362200" cy="561932"/>
            </a:xfrm>
            <a:prstGeom prst="rect">
              <a:avLst/>
            </a:prstGeom>
          </xdr:spPr>
          <xdr:txBody>
            <a:bodyPr vertOverflow="clip" horzOverflow="clip" wrap="square">
              <a:spAutoFit/>
            </a:bodyPr>
            <a:lstStyle/>
            <a:p>
              <a:r>
                <a:rPr lang="en-US" sz="160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𝑦 ̄=</a:t>
              </a:r>
              <a:r>
                <a:rPr lang="en-US" sz="1600" b="0" i="0">
                  <a:solidFill>
                    <a:srgbClr val="000000"/>
                  </a:solidFill>
                  <a:latin typeface="Cambria Math" panose="02040503050406030204" pitchFamily="18" charset="0"/>
                </a:rPr>
                <a:t>1060,07/14</a:t>
              </a:r>
              <a:r>
                <a:rPr lang="en-US" sz="1600" i="0">
                  <a:solidFill>
                    <a:srgbClr val="000000"/>
                  </a:solidFill>
                  <a:latin typeface="Cambria Math" panose="02040503050406030204" pitchFamily="18" charset="0"/>
                </a:rPr>
                <a:t>=</a:t>
              </a:r>
              <a:r>
                <a:rPr lang="en-US" sz="1600"/>
                <a:t> </a:t>
              </a:r>
              <a:r>
                <a:rPr lang="en-US" sz="1400"/>
                <a:t>75,71 metri</a:t>
              </a:r>
            </a:p>
            <a:p>
              <a:endParaRPr lang="en-US"/>
            </a:p>
          </xdr:txBody>
        </xdr:sp>
      </mc:Fallback>
    </mc:AlternateContent>
    <xdr:clientData/>
  </xdr:twoCellAnchor>
  <xdr:twoCellAnchor>
    <xdr:from>
      <xdr:col>15</xdr:col>
      <xdr:colOff>76200</xdr:colOff>
      <xdr:row>24</xdr:row>
      <xdr:rowOff>137160</xdr:rowOff>
    </xdr:from>
    <xdr:to>
      <xdr:col>16</xdr:col>
      <xdr:colOff>198120</xdr:colOff>
      <xdr:row>26</xdr:row>
      <xdr:rowOff>77160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Object 4">
              <a:extLs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:cNvPr>
            <xdr:cNvSpPr txBox="1"/>
          </xdr:nvSpPr>
          <xdr:spPr>
            <a:xfrm>
              <a:off x="12623800" y="6207760"/>
              <a:ext cx="795020" cy="409900"/>
            </a:xfrm>
            <a:prstGeom prst="rect">
              <a:avLst/>
            </a:prstGeom>
            <a:solidFill>
              <a:schemeClr val="accent4">
                <a:lumMod val="20000"/>
                <a:lumOff val="80000"/>
              </a:schemeClr>
            </a:solidFill>
          </xdr:spPr>
          <xdr:txBody>
            <a:bodyPr vertOverflow="clip" horzOverflow="clip" wrap="square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8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800" b="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US" sz="18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𝑦</m:t>
                        </m:r>
                        <m:r>
                          <a:rPr lang="en-US" sz="18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/</m:t>
                        </m:r>
                        <m:r>
                          <a:rPr lang="en-US" sz="1800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</m:sSub>
                  </m:oMath>
                </m:oMathPara>
              </a14:m>
              <a:endParaRPr lang="en-US" sz="1800"/>
            </a:p>
          </xdr:txBody>
        </xdr:sp>
      </mc:Choice>
      <mc:Fallback xmlns="">
        <xdr:sp macro="" textlink="">
          <xdr:nvSpPr>
            <xdr:cNvPr id="5" name="Object 4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SpPr txBox="1"/>
          </xdr:nvSpPr>
          <xdr:spPr>
            <a:xfrm>
              <a:off x="12623800" y="6207760"/>
              <a:ext cx="795020" cy="409900"/>
            </a:xfrm>
            <a:prstGeom prst="rect">
              <a:avLst/>
            </a:prstGeom>
            <a:solidFill>
              <a:schemeClr val="accent4">
                <a:lumMod val="20000"/>
                <a:lumOff val="80000"/>
              </a:schemeClr>
            </a:solidFill>
          </xdr:spPr>
          <xdr:txBody>
            <a:bodyPr vertOverflow="clip" horzOverflow="clip" wrap="square">
              <a:spAutoFit/>
            </a:bodyPr>
            <a:lstStyle/>
            <a:p>
              <a:pPr/>
              <a:r>
                <a:rPr lang="en-US" sz="1800" b="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𝑅_(</a:t>
              </a:r>
              <a:r>
                <a:rPr lang="en-US" sz="1800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𝑦/𝑥)</a:t>
              </a:r>
              <a:endParaRPr lang="en-US" sz="1800"/>
            </a:p>
          </xdr:txBody>
        </xdr:sp>
      </mc:Fallback>
    </mc:AlternateContent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546100</xdr:colOff>
          <xdr:row>19</xdr:row>
          <xdr:rowOff>0</xdr:rowOff>
        </xdr:from>
        <xdr:to>
          <xdr:col>16</xdr:col>
          <xdr:colOff>2603500</xdr:colOff>
          <xdr:row>22</xdr:row>
          <xdr:rowOff>165100</xdr:rowOff>
        </xdr:to>
        <xdr:sp macro="" textlink="">
          <xdr:nvSpPr>
            <xdr:cNvPr id="3077" name="Object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3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10</xdr:col>
      <xdr:colOff>1143000</xdr:colOff>
      <xdr:row>50</xdr:row>
      <xdr:rowOff>11430</xdr:rowOff>
    </xdr:from>
    <xdr:to>
      <xdr:col>11</xdr:col>
      <xdr:colOff>449580</xdr:colOff>
      <xdr:row>55</xdr:row>
      <xdr:rowOff>11430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 txBox="1"/>
      </xdr:nvSpPr>
      <xdr:spPr>
        <a:xfrm>
          <a:off x="6629400" y="12873990"/>
          <a:ext cx="914400" cy="914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1</xdr:col>
      <xdr:colOff>190500</xdr:colOff>
      <xdr:row>21</xdr:row>
      <xdr:rowOff>60960</xdr:rowOff>
    </xdr:from>
    <xdr:to>
      <xdr:col>10</xdr:col>
      <xdr:colOff>388620</xdr:colOff>
      <xdr:row>27</xdr:row>
      <xdr:rowOff>88900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 txBox="1"/>
      </xdr:nvSpPr>
      <xdr:spPr>
        <a:xfrm>
          <a:off x="190500" y="5521960"/>
          <a:ext cx="6687820" cy="133604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>
              <a:latin typeface="Times New Roman" panose="02020603050405020304" pitchFamily="18" charset="0"/>
              <a:cs typeface="Times New Roman" panose="02020603050405020304" pitchFamily="18" charset="0"/>
            </a:rPr>
            <a:t>Se poate spuna ca </a:t>
          </a:r>
          <a:r>
            <a:rPr lang="en-US" sz="1600" b="1">
              <a:solidFill>
                <a:schemeClr val="accent4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legatura este puternica</a:t>
          </a:r>
          <a:r>
            <a:rPr lang="en-US" sz="1600">
              <a:latin typeface="Times New Roman" panose="02020603050405020304" pitchFamily="18" charset="0"/>
              <a:cs typeface="Times New Roman" panose="02020603050405020304" pitchFamily="18" charset="0"/>
            </a:rPr>
            <a:t>( </a:t>
          </a:r>
          <a:r>
            <a:rPr lang="en-US" sz="1600" b="1">
              <a:solidFill>
                <a:schemeClr val="accent4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r/x = 0,9935</a:t>
          </a:r>
          <a:r>
            <a:rPr lang="en-US" sz="1600">
              <a:latin typeface="Times New Roman" panose="02020603050405020304" pitchFamily="18" charset="0"/>
              <a:cs typeface="Times New Roman" panose="02020603050405020304" pitchFamily="18" charset="0"/>
            </a:rPr>
            <a:t>) si </a:t>
          </a:r>
          <a:r>
            <a:rPr lang="en-US" sz="1600" b="1">
              <a:solidFill>
                <a:schemeClr val="accent4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gradul de determinatie</a:t>
          </a:r>
          <a:r>
            <a:rPr lang="en-US" sz="1600">
              <a:latin typeface="Times New Roman" panose="02020603050405020304" pitchFamily="18" charset="0"/>
              <a:cs typeface="Times New Roman" panose="02020603050405020304" pitchFamily="18" charset="0"/>
            </a:rPr>
            <a:t>  R² este </a:t>
          </a:r>
          <a:r>
            <a:rPr lang="en-US" sz="16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600" b="1" baseline="0">
              <a:solidFill>
                <a:schemeClr val="accent4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de </a:t>
          </a:r>
          <a:r>
            <a:rPr lang="en-US" sz="1600" b="1">
              <a:solidFill>
                <a:schemeClr val="accent4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0,9870 sau 98,7%</a:t>
          </a:r>
        </a:p>
        <a:p>
          <a:r>
            <a:rPr lang="en-US" sz="16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Coeficientul de corelatie </a:t>
          </a:r>
          <a:r>
            <a:rPr lang="en-US" sz="1600">
              <a:latin typeface="Times New Roman" panose="02020603050405020304" pitchFamily="18" charset="0"/>
              <a:cs typeface="Times New Roman" panose="02020603050405020304" pitchFamily="18" charset="0"/>
            </a:rPr>
            <a:t>este de </a:t>
          </a:r>
          <a:r>
            <a:rPr lang="en-US" sz="16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0,9817</a:t>
          </a:r>
          <a:r>
            <a:rPr lang="en-US" sz="1600">
              <a:latin typeface="Times New Roman" panose="02020603050405020304" pitchFamily="18" charset="0"/>
              <a:cs typeface="Times New Roman" panose="02020603050405020304" pitchFamily="18" charset="0"/>
            </a:rPr>
            <a:t>  =&gt;   legatura dintre cele 2 variabile </a:t>
          </a:r>
          <a:r>
            <a:rPr lang="en-US" sz="1600" b="1">
              <a:solidFill>
                <a:schemeClr val="accent4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este directa si puternica </a:t>
          </a:r>
          <a:r>
            <a:rPr lang="en-US" sz="1600">
              <a:latin typeface="Times New Roman" panose="02020603050405020304" pitchFamily="18" charset="0"/>
              <a:cs typeface="Times New Roman" panose="02020603050405020304" pitchFamily="18" charset="0"/>
            </a:rPr>
            <a:t>deoarece coeficientul de corelatie este aproximativ egal cu 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7620</xdr:colOff>
      <xdr:row>6</xdr:row>
      <xdr:rowOff>109220</xdr:rowOff>
    </xdr:from>
    <xdr:to>
      <xdr:col>11</xdr:col>
      <xdr:colOff>604520</xdr:colOff>
      <xdr:row>8</xdr:row>
      <xdr:rowOff>245745</xdr:rowOff>
    </xdr:to>
    <xdr:pic>
      <xdr:nvPicPr>
        <xdr:cNvPr id="2" name="Object 4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91620" y="2192020"/>
          <a:ext cx="1409700" cy="6699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647700</xdr:colOff>
      <xdr:row>25</xdr:row>
      <xdr:rowOff>213360</xdr:rowOff>
    </xdr:from>
    <xdr:to>
      <xdr:col>11</xdr:col>
      <xdr:colOff>1028700</xdr:colOff>
      <xdr:row>28</xdr:row>
      <xdr:rowOff>215900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5867400" y="6779260"/>
          <a:ext cx="6350000" cy="68834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>
              <a:latin typeface="Times New Roman" panose="02020603050405020304" pitchFamily="18" charset="0"/>
              <a:cs typeface="Times New Roman" panose="02020603050405020304" pitchFamily="18" charset="0"/>
            </a:rPr>
            <a:t>Deoarece </a:t>
          </a:r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 calculat &gt; t tabelar </a:t>
          </a:r>
          <a:r>
            <a:rPr lang="en-US" sz="1600">
              <a:latin typeface="Times New Roman" panose="02020603050405020304" pitchFamily="18" charset="0"/>
              <a:cs typeface="Times New Roman" panose="02020603050405020304" pitchFamily="18" charset="0"/>
            </a:rPr>
            <a:t>=&gt;  Exista suficiente dovezi pt acest prag de semnificatie ca </a:t>
          </a:r>
          <a:r>
            <a:rPr lang="en-US" sz="1600" b="1">
              <a:solidFill>
                <a:schemeClr val="accent6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viteza determina distanta totala in momentul franarii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</xdr:colOff>
      <xdr:row>2</xdr:row>
      <xdr:rowOff>114300</xdr:rowOff>
    </xdr:from>
    <xdr:to>
      <xdr:col>18</xdr:col>
      <xdr:colOff>525780</xdr:colOff>
      <xdr:row>6</xdr:row>
      <xdr:rowOff>165100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9712960" y="914400"/>
          <a:ext cx="6357620" cy="245110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1: Cu ajutorul coeficientului de determinatie</a:t>
          </a:r>
        </a:p>
        <a:p>
          <a:endParaRPr lang="en-US" sz="16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600">
              <a:latin typeface="Times New Roman" panose="02020603050405020304" pitchFamily="18" charset="0"/>
              <a:cs typeface="Times New Roman" panose="02020603050405020304" pitchFamily="18" charset="0"/>
            </a:rPr>
            <a:t>Intensitatea legaturii liniare dintre cele 2 variabile poate fi determinata cu ajutorul datelor din ANOVA</a:t>
          </a:r>
        </a:p>
        <a:p>
          <a:r>
            <a:rPr lang="en-US" sz="1600">
              <a:latin typeface="Times New Roman" panose="02020603050405020304" pitchFamily="18" charset="0"/>
              <a:cs typeface="Times New Roman" panose="02020603050405020304" pitchFamily="18" charset="0"/>
            </a:rPr>
            <a:t>Cum </a:t>
          </a:r>
          <a:r>
            <a:rPr lang="en-US" sz="1600" b="1">
              <a:solidFill>
                <a:schemeClr val="accent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Adjusted R Square = </a:t>
          </a:r>
          <a:r>
            <a:rPr lang="en-US" sz="1600" b="1" i="0" u="none" strike="noStrike">
              <a:solidFill>
                <a:schemeClr val="accen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0,960802</a:t>
          </a:r>
          <a:r>
            <a:rPr lang="en-US" sz="1600" b="1">
              <a:solidFill>
                <a:schemeClr val="accent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  <a:p>
          <a:r>
            <a:rPr lang="en-US" sz="1600">
              <a:latin typeface="Times New Roman" panose="02020603050405020304" pitchFamily="18" charset="0"/>
              <a:cs typeface="Times New Roman" panose="02020603050405020304" pitchFamily="18" charset="0"/>
            </a:rPr>
            <a:t>Deoarece </a:t>
          </a:r>
          <a:r>
            <a:rPr lang="en-US" sz="1600" b="1">
              <a:solidFill>
                <a:schemeClr val="accent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96,08% </a:t>
          </a:r>
          <a:r>
            <a:rPr lang="en-US" sz="1600">
              <a:latin typeface="Times New Roman" panose="02020603050405020304" pitchFamily="18" charset="0"/>
              <a:cs typeface="Times New Roman" panose="02020603050405020304" pitchFamily="18" charset="0"/>
            </a:rPr>
            <a:t>din modificarea distantei totale de oprire este datorata variatiei vitezei =&gt; </a:t>
          </a:r>
          <a:r>
            <a:rPr lang="en-US" sz="1600" b="1">
              <a:solidFill>
                <a:schemeClr val="accent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intensitatea legăturii dintre cele 2 variabile este foarte puternica ( &gt;75%)</a:t>
          </a:r>
        </a:p>
      </xdr:txBody>
    </xdr:sp>
    <xdr:clientData/>
  </xdr:twoCellAnchor>
  <xdr:twoCellAnchor>
    <xdr:from>
      <xdr:col>14</xdr:col>
      <xdr:colOff>152400</xdr:colOff>
      <xdr:row>9</xdr:row>
      <xdr:rowOff>251460</xdr:rowOff>
    </xdr:from>
    <xdr:to>
      <xdr:col>22</xdr:col>
      <xdr:colOff>238760</xdr:colOff>
      <xdr:row>25</xdr:row>
      <xdr:rowOff>63500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13004800" y="4251960"/>
          <a:ext cx="5471160" cy="399034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o-RO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Pentru a testa semnificaţia relaţiei de regresie cu testul </a:t>
          </a:r>
          <a:r>
            <a:rPr lang="ro-RO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</a:t>
          </a:r>
          <a:r>
            <a:rPr lang="ro-RO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vom testa următoarele </a:t>
          </a:r>
          <a:r>
            <a:rPr lang="ro-RO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ipoteze</a:t>
          </a:r>
          <a:r>
            <a:rPr lang="ro-RO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asupra coeficientului :</a:t>
          </a:r>
          <a:endParaRPr lang="en-US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endParaRPr lang="en-US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endParaRPr lang="en-US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ro-RO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  <a:endParaRPr lang="en-US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ro-RO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Statistica testului:</a:t>
          </a:r>
          <a:endParaRPr lang="en-US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endParaRPr lang="en-US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ro-RO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  <a:endParaRPr lang="en-US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endParaRPr lang="en-US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lvl="0"/>
          <a:r>
            <a:rPr lang="ro-RO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Regula de respingere:</a:t>
          </a:r>
          <a:endParaRPr lang="en-US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endParaRPr lang="en-US" sz="14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en-US" sz="1400">
              <a:latin typeface="Times New Roman" panose="02020603050405020304" pitchFamily="18" charset="0"/>
              <a:cs typeface="Times New Roman" panose="02020603050405020304" pitchFamily="18" charset="0"/>
            </a:rPr>
            <a:t>F = 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319,6472</a:t>
          </a:r>
          <a:r>
            <a:rPr lang="en-US" sz="1400">
              <a:latin typeface="Times New Roman" panose="02020603050405020304" pitchFamily="18" charset="0"/>
              <a:cs typeface="Times New Roman" panose="02020603050405020304" pitchFamily="18" charset="0"/>
            </a:rPr>
            <a:t>  &gt; 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0,0041</a:t>
          </a:r>
          <a:r>
            <a:rPr lang="en-US" sz="1400">
              <a:latin typeface="Times New Roman" panose="02020603050405020304" pitchFamily="18" charset="0"/>
              <a:cs typeface="Times New Roman" panose="02020603050405020304" pitchFamily="18" charset="0"/>
            </a:rPr>
            <a:t> (</a:t>
          </a:r>
          <a:r>
            <a:rPr lang="en-US" sz="1400" baseline="0">
              <a:latin typeface="Times New Roman" panose="02020603050405020304" pitchFamily="18" charset="0"/>
              <a:cs typeface="Times New Roman" panose="02020603050405020304" pitchFamily="18" charset="0"/>
            </a:rPr>
            <a:t> F alfa)</a:t>
          </a:r>
          <a:endParaRPr lang="en-US" sz="1400" b="0" i="0" u="none" strike="noStrike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l"/>
          <a:r>
            <a:rPr lang="en-US" sz="14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p= 0,025 &lt; 0,05 (alfa)</a:t>
          </a:r>
        </a:p>
        <a:p>
          <a:endParaRPr lang="en-US" sz="1400" b="0" i="0" u="none" strike="noStrike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en-US" sz="140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=&gt;  </a:t>
          </a:r>
          <a:r>
            <a:rPr lang="ro-RO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există o </a:t>
          </a:r>
          <a:r>
            <a:rPr lang="ro-RO" sz="1400" b="1" i="0">
              <a:solidFill>
                <a:schemeClr val="accen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relaţie semnificativă </a:t>
          </a:r>
          <a:r>
            <a:rPr lang="ro-RO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din punct de vedere statistic </a:t>
          </a:r>
          <a:r>
            <a:rPr lang="ro-RO" sz="1400" b="1">
              <a:solidFill>
                <a:schemeClr val="accen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privind dependenţa liniară a celor două variabile</a:t>
          </a:r>
          <a:endParaRPr lang="en-US" sz="1400" b="1" i="0" u="none" strike="noStrike">
            <a:solidFill>
              <a:schemeClr val="accen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endParaRPr lang="en-US" sz="1400" b="0" i="0" u="none" strike="noStrike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endParaRPr lang="en-US" sz="1400" b="0" i="0" u="none" strike="noStrike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endParaRPr lang="en-US" sz="14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317500</xdr:colOff>
          <xdr:row>12</xdr:row>
          <xdr:rowOff>50800</xdr:rowOff>
        </xdr:from>
        <xdr:to>
          <xdr:col>18</xdr:col>
          <xdr:colOff>482600</xdr:colOff>
          <xdr:row>14</xdr:row>
          <xdr:rowOff>127000</xdr:rowOff>
        </xdr:to>
        <xdr:sp macro="" textlink="">
          <xdr:nvSpPr>
            <xdr:cNvPr id="7169" name="Object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6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177800</xdr:colOff>
          <xdr:row>15</xdr:row>
          <xdr:rowOff>50800</xdr:rowOff>
        </xdr:from>
        <xdr:to>
          <xdr:col>19</xdr:col>
          <xdr:colOff>304800</xdr:colOff>
          <xdr:row>17</xdr:row>
          <xdr:rowOff>38100</xdr:rowOff>
        </xdr:to>
        <xdr:sp macro="" textlink="">
          <xdr:nvSpPr>
            <xdr:cNvPr id="7170" name="Object 2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:a16="http://schemas.microsoft.com/office/drawing/2014/main" id="{00000000-0008-0000-0600-00000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17</xdr:col>
      <xdr:colOff>378460</xdr:colOff>
      <xdr:row>22</xdr:row>
      <xdr:rowOff>40640</xdr:rowOff>
    </xdr:from>
    <xdr:to>
      <xdr:col>18</xdr:col>
      <xdr:colOff>455779</xdr:colOff>
      <xdr:row>23</xdr:row>
      <xdr:rowOff>185820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Object 5">
              <a:extLst>
                <a:ext uri="{FF2B5EF4-FFF2-40B4-BE49-F238E27FC236}">
                  <a16:creationId xmlns:a16="http://schemas.microsoft.com/office/drawing/2014/main" id="{00000000-0008-0000-0600-000004000000}"/>
                </a:ext>
              </a:extLst>
            </xdr:cNvPr>
            <xdr:cNvSpPr txBox="1"/>
          </xdr:nvSpPr>
          <xdr:spPr>
            <a:xfrm>
              <a:off x="15250160" y="7457440"/>
              <a:ext cx="750419" cy="399180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US" b="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(</m:t>
                    </m:r>
                    <m:r>
                      <a:rPr lang="en-US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𝑝</m:t>
                    </m:r>
                    <m:r>
                      <a:rPr lang="en-US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≤</m:t>
                    </m:r>
                    <m:r>
                      <a:rPr lang="en-US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𝛼</m:t>
                    </m:r>
                    <m:r>
                      <a:rPr lang="en-US" b="0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/>
            </a:p>
          </xdr:txBody>
        </xdr:sp>
      </mc:Choice>
      <mc:Fallback xmlns="">
        <xdr:sp macro="" textlink="">
          <xdr:nvSpPr>
            <xdr:cNvPr id="4" name="Object 5">
              <a:extLst>
                <a:ext uri="{FF2B5EF4-FFF2-40B4-BE49-F238E27FC236}">
                  <a16:creationId xmlns:a16="http://schemas.microsoft.com/office/drawing/2014/main" id="{00000000-0008-0000-0400-000004000000}"/>
                </a:ext>
              </a:extLst>
            </xdr:cNvPr>
            <xdr:cNvSpPr txBox="1"/>
          </xdr:nvSpPr>
          <xdr:spPr>
            <a:xfrm>
              <a:off x="15250160" y="7457440"/>
              <a:ext cx="750419" cy="399180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pPr/>
              <a:r>
                <a:rPr lang="en-US" b="0" i="0">
                  <a:solidFill>
                    <a:srgbClr val="000000"/>
                  </a:solidFill>
                  <a:latin typeface="Cambria Math" panose="02040503050406030204" pitchFamily="18" charset="0"/>
                </a:rPr>
                <a:t>(</a:t>
              </a:r>
              <a:r>
                <a:rPr lang="en-US" i="0">
                  <a:solidFill>
                    <a:srgbClr val="000000"/>
                  </a:solidFill>
                  <a:latin typeface="Cambria Math" panose="02040503050406030204" pitchFamily="18" charset="0"/>
                </a:rPr>
                <a:t>𝑝≤𝛼</a:t>
              </a:r>
              <a:r>
                <a:rPr lang="en-US" b="0" i="0">
                  <a:solidFill>
                    <a:srgbClr val="000000"/>
                  </a:solidFill>
                  <a:latin typeface="Cambria Math" panose="02040503050406030204" pitchFamily="18" charset="0"/>
                </a:rPr>
                <a:t>)</a:t>
              </a:r>
              <a:endParaRPr lang="en-US"/>
            </a:p>
          </xdr:txBody>
        </xdr:sp>
      </mc:Fallback>
    </mc:AlternateContent>
    <xdr:clientData/>
  </xdr:twoCellAnchor>
  <xdr:twoCellAnchor>
    <xdr:from>
      <xdr:col>1</xdr:col>
      <xdr:colOff>175260</xdr:colOff>
      <xdr:row>21</xdr:row>
      <xdr:rowOff>53340</xdr:rowOff>
    </xdr:from>
    <xdr:to>
      <xdr:col>6</xdr:col>
      <xdr:colOff>495300</xdr:colOff>
      <xdr:row>33</xdr:row>
      <xdr:rowOff>228600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175260" y="7216140"/>
          <a:ext cx="6250940" cy="322326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1">
              <a:solidFill>
                <a:srgbClr val="FF0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2.T</a:t>
          </a:r>
          <a:r>
            <a:rPr lang="ro-RO" sz="1800" b="1">
              <a:solidFill>
                <a:srgbClr val="FF0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estarea coeficientului de corelaţie</a:t>
          </a:r>
          <a:endParaRPr lang="en-US" sz="1800">
            <a:solidFill>
              <a:srgbClr val="FF0000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ro-RO" sz="18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Se definesc ipotezele:</a:t>
          </a:r>
          <a:endParaRPr lang="en-US" sz="18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ro-RO" sz="18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Ho: ρ=0</a:t>
          </a:r>
          <a:endParaRPr lang="en-US" sz="18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ro-RO" sz="18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HI : ρ≠0</a:t>
          </a:r>
          <a:endParaRPr lang="en-US" sz="18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ro-RO" sz="18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 </a:t>
          </a:r>
          <a:endParaRPr lang="en-US" sz="18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ro-RO" sz="18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Statistica testului este:</a:t>
          </a:r>
          <a:endParaRPr lang="en-US" sz="18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endParaRPr lang="en-US" sz="18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o-RO" sz="18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Putem concluziona, cum , că avem suficiente dovezi pentru a respinge ipoteza nulă şi a accepta ipoteza alternativă, aceea că  </a:t>
          </a:r>
          <a:r>
            <a:rPr lang="en-US" sz="18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legatura</a:t>
          </a:r>
          <a:r>
            <a:rPr lang="en-US" sz="1800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dintre variabile este foarte semnificativa.</a:t>
          </a:r>
          <a:endParaRPr lang="en-US" sz="18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368300</xdr:colOff>
          <xdr:row>24</xdr:row>
          <xdr:rowOff>114300</xdr:rowOff>
        </xdr:from>
        <xdr:to>
          <xdr:col>4</xdr:col>
          <xdr:colOff>1308100</xdr:colOff>
          <xdr:row>27</xdr:row>
          <xdr:rowOff>12700</xdr:rowOff>
        </xdr:to>
        <xdr:sp macro="" textlink="">
          <xdr:nvSpPr>
            <xdr:cNvPr id="7174" name="Object 6" hidden="1">
              <a:extLst>
                <a:ext uri="{63B3BB69-23CF-44E3-9099-C40C66FF867C}">
                  <a14:compatExt spid="_x0000_s7174"/>
                </a:ext>
                <a:ext uri="{FF2B5EF4-FFF2-40B4-BE49-F238E27FC236}">
                  <a16:creationId xmlns:a16="http://schemas.microsoft.com/office/drawing/2014/main" id="{00000000-0008-0000-0600-00000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660400</xdr:colOff>
          <xdr:row>31</xdr:row>
          <xdr:rowOff>139700</xdr:rowOff>
        </xdr:from>
        <xdr:to>
          <xdr:col>4</xdr:col>
          <xdr:colOff>1397000</xdr:colOff>
          <xdr:row>33</xdr:row>
          <xdr:rowOff>139700</xdr:rowOff>
        </xdr:to>
        <xdr:sp macro="" textlink="">
          <xdr:nvSpPr>
            <xdr:cNvPr id="7175" name="Object 7" hidden="1">
              <a:extLst>
                <a:ext uri="{63B3BB69-23CF-44E3-9099-C40C66FF867C}">
                  <a14:compatExt spid="_x0000_s7175"/>
                </a:ext>
                <a:ext uri="{FF2B5EF4-FFF2-40B4-BE49-F238E27FC236}">
                  <a16:creationId xmlns:a16="http://schemas.microsoft.com/office/drawing/2014/main" id="{00000000-0008-0000-0600-000007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342899</xdr:colOff>
      <xdr:row>20</xdr:row>
      <xdr:rowOff>123824</xdr:rowOff>
    </xdr:from>
    <xdr:to>
      <xdr:col>16</xdr:col>
      <xdr:colOff>393700</xdr:colOff>
      <xdr:row>40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miliagogu/Desktop/STATISTICA%20II%20CSIE%20-%202020/Seminarul%209%20Distanta%20de%20franare%20-%20Alexandru%20Nico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3"/>
      <sheetName val="Sheet4"/>
    </sheetNames>
    <sheetDataSet>
      <sheetData sheetId="0"/>
      <sheetData sheetId="1"/>
      <sheetData sheetId="2">
        <row r="1">
          <cell r="B1" t="str">
            <v>Values</v>
          </cell>
          <cell r="C1" t="str">
            <v>Forecast</v>
          </cell>
          <cell r="D1" t="str">
            <v>Lower Confidence Bound</v>
          </cell>
          <cell r="E1" t="str">
            <v>Upper Confidence Bound</v>
          </cell>
        </row>
        <row r="2">
          <cell r="A2">
            <v>10</v>
          </cell>
          <cell r="B2">
            <v>4.2699999999999996</v>
          </cell>
        </row>
        <row r="3">
          <cell r="A3">
            <v>20</v>
          </cell>
          <cell r="B3">
            <v>8.5500000000000007</v>
          </cell>
        </row>
        <row r="4">
          <cell r="A4">
            <v>30</v>
          </cell>
          <cell r="B4">
            <v>15.32</v>
          </cell>
        </row>
        <row r="5">
          <cell r="A5">
            <v>40</v>
          </cell>
          <cell r="B5">
            <v>23.11</v>
          </cell>
        </row>
        <row r="6">
          <cell r="A6">
            <v>50</v>
          </cell>
          <cell r="B6">
            <v>32.880000000000003</v>
          </cell>
        </row>
        <row r="7">
          <cell r="A7">
            <v>60</v>
          </cell>
          <cell r="B7">
            <v>43.65</v>
          </cell>
        </row>
        <row r="8">
          <cell r="A8">
            <v>70</v>
          </cell>
          <cell r="B8">
            <v>56.4</v>
          </cell>
        </row>
        <row r="9">
          <cell r="A9">
            <v>80</v>
          </cell>
          <cell r="B9">
            <v>70.22</v>
          </cell>
        </row>
        <row r="10">
          <cell r="A10">
            <v>90</v>
          </cell>
          <cell r="B10">
            <v>86</v>
          </cell>
        </row>
        <row r="11">
          <cell r="A11">
            <v>100</v>
          </cell>
          <cell r="B11">
            <v>105.8</v>
          </cell>
        </row>
        <row r="12">
          <cell r="A12">
            <v>110</v>
          </cell>
          <cell r="B12">
            <v>120.55</v>
          </cell>
        </row>
        <row r="13">
          <cell r="A13">
            <v>120</v>
          </cell>
          <cell r="B13">
            <v>141.33000000000001</v>
          </cell>
        </row>
        <row r="14">
          <cell r="A14">
            <v>130</v>
          </cell>
          <cell r="B14">
            <v>166.11</v>
          </cell>
        </row>
        <row r="15">
          <cell r="A15">
            <v>140</v>
          </cell>
          <cell r="B15">
            <v>185.88</v>
          </cell>
          <cell r="C15">
            <v>185.88</v>
          </cell>
          <cell r="D15">
            <v>185.88</v>
          </cell>
          <cell r="E15">
            <v>185.88</v>
          </cell>
        </row>
        <row r="16">
          <cell r="A16">
            <v>150</v>
          </cell>
          <cell r="C16">
            <v>207.07292856355744</v>
          </cell>
          <cell r="D16">
            <v>199.18878653141891</v>
          </cell>
          <cell r="E16">
            <v>214.95707059569597</v>
          </cell>
        </row>
        <row r="17">
          <cell r="A17">
            <v>160</v>
          </cell>
          <cell r="C17">
            <v>227.825960875248</v>
          </cell>
          <cell r="D17">
            <v>211.59841033527942</v>
          </cell>
          <cell r="E17">
            <v>244.05351141521658</v>
          </cell>
        </row>
        <row r="18">
          <cell r="A18">
            <v>170</v>
          </cell>
          <cell r="C18">
            <v>248.57899318693853</v>
          </cell>
          <cell r="D18">
            <v>221.82443280457932</v>
          </cell>
          <cell r="E18">
            <v>275.33355356929775</v>
          </cell>
        </row>
        <row r="19">
          <cell r="A19">
            <v>180</v>
          </cell>
          <cell r="C19">
            <v>269.33202549862909</v>
          </cell>
          <cell r="D19">
            <v>230.34415474347253</v>
          </cell>
          <cell r="E19">
            <v>308.31989625378566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85CF00-4A78-D242-BABC-FC081D8F29E5}" name="Table2" displayName="Table2" ref="B23:G42" totalsRowShown="0" headerRowDxfId="7" dataDxfId="6">
  <autoFilter ref="B23:G42" xr:uid="{A466D5A0-3FF1-5F4A-8EF9-5C8BA8B57E88}"/>
  <tableColumns count="6">
    <tableColumn id="1" xr3:uid="{7B4C2B6B-5409-494A-90F8-36F495B11080}" name="Timeline" dataDxfId="5"/>
    <tableColumn id="2" xr3:uid="{5C59D5C7-E778-134B-888D-0CC3FB3AD514}" name="Values" dataDxfId="4"/>
    <tableColumn id="3" xr3:uid="{A66DB6AC-A270-3C40-961C-5503CA772EA6}" name="Forecast" dataDxfId="3">
      <calculatedColumnFormula>_xlfn.FORECAST.ETS(B24,$C$3:$C$16,$B$3:$B$16,1,1)</calculatedColumnFormula>
    </tableColumn>
    <tableColumn id="4" xr3:uid="{88225795-80E7-044E-B5E5-963358EE830B}" name="Lower Confidence Bound" dataDxfId="2">
      <calculatedColumnFormula>D24-_xlfn.FORECAST.ETS.CONFINT(B24,$C$3:$C$16,$B$3:$B$16,0.95,1,1)</calculatedColumnFormula>
    </tableColumn>
    <tableColumn id="5" xr3:uid="{A7786919-4D8E-7A49-A12A-D3829F5B427B}" name="Upper Confidence Bound" dataDxfId="1">
      <calculatedColumnFormula>D24+_xlfn.FORECAST.ETS.CONFINT(B24,$C$3:$C$16,$B$3:$B$16,0.95,1,1)</calculatedColumnFormula>
    </tableColumn>
    <tableColumn id="6" xr3:uid="{4F5E880E-7D7B-4744-9992-127814FFFFCC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arutiera.ro/forum/showthread.php?1573-Distanta-de-franare-in-functie-de-viteza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wmf"/><Relationship Id="rId3" Type="http://schemas.openxmlformats.org/officeDocument/2006/relationships/oleObject" Target="../embeddings/oleObject1.bin"/><Relationship Id="rId7" Type="http://schemas.openxmlformats.org/officeDocument/2006/relationships/oleObject" Target="../embeddings/oleObject3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6" Type="http://schemas.openxmlformats.org/officeDocument/2006/relationships/image" Target="../media/image2.wmf"/><Relationship Id="rId5" Type="http://schemas.openxmlformats.org/officeDocument/2006/relationships/oleObject" Target="../embeddings/oleObject2.bin"/><Relationship Id="rId4" Type="http://schemas.openxmlformats.org/officeDocument/2006/relationships/image" Target="../media/image1.wmf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6.bin"/><Relationship Id="rId3" Type="http://schemas.openxmlformats.org/officeDocument/2006/relationships/vmlDrawing" Target="../drawings/vmlDrawing2.vml"/><Relationship Id="rId7" Type="http://schemas.openxmlformats.org/officeDocument/2006/relationships/image" Target="../media/image6.wmf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Relationship Id="rId6" Type="http://schemas.openxmlformats.org/officeDocument/2006/relationships/oleObject" Target="../embeddings/oleObject5.bin"/><Relationship Id="rId11" Type="http://schemas.openxmlformats.org/officeDocument/2006/relationships/image" Target="../media/image8.wmf"/><Relationship Id="rId5" Type="http://schemas.openxmlformats.org/officeDocument/2006/relationships/image" Target="../media/image5.wmf"/><Relationship Id="rId10" Type="http://schemas.openxmlformats.org/officeDocument/2006/relationships/oleObject" Target="../embeddings/oleObject7.bin"/><Relationship Id="rId4" Type="http://schemas.openxmlformats.org/officeDocument/2006/relationships/oleObject" Target="../embeddings/oleObject4.bin"/><Relationship Id="rId9" Type="http://schemas.openxmlformats.org/officeDocument/2006/relationships/image" Target="../media/image7.wmf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7AD5C-D053-6345-8D6B-AF10B73D4488}">
  <sheetPr>
    <tabColor theme="4" tint="-0.249977111117893"/>
  </sheetPr>
  <dimension ref="A1:H35"/>
  <sheetViews>
    <sheetView tabSelected="1" zoomScale="113" zoomScaleNormal="170" workbookViewId="0">
      <selection activeCell="F23" sqref="F23"/>
    </sheetView>
  </sheetViews>
  <sheetFormatPr baseColWidth="10" defaultRowHeight="18" x14ac:dyDescent="0.2"/>
  <cols>
    <col min="1" max="1" width="10.83203125" style="4"/>
    <col min="2" max="2" width="25.6640625" style="4" customWidth="1"/>
    <col min="3" max="3" width="19.5" style="4" customWidth="1"/>
    <col min="4" max="4" width="15.1640625" style="4" customWidth="1"/>
    <col min="5" max="5" width="22.6640625" style="4" customWidth="1"/>
    <col min="6" max="6" width="30.5" style="4" customWidth="1"/>
    <col min="7" max="16384" width="10.83203125" style="4"/>
  </cols>
  <sheetData>
    <row r="1" spans="1:8" x14ac:dyDescent="0.2">
      <c r="A1" s="30"/>
      <c r="B1" s="87" t="s">
        <v>145</v>
      </c>
      <c r="C1" s="88"/>
      <c r="D1" s="88"/>
      <c r="E1" s="88"/>
      <c r="F1" s="88"/>
      <c r="G1" s="30"/>
      <c r="H1" s="30"/>
    </row>
    <row r="2" spans="1:8" ht="32" customHeight="1" x14ac:dyDescent="0.2">
      <c r="A2" s="30"/>
      <c r="B2" s="150" t="s">
        <v>163</v>
      </c>
      <c r="C2" s="151"/>
      <c r="D2" s="151"/>
      <c r="E2" s="151"/>
      <c r="F2" s="151"/>
      <c r="G2" s="30"/>
      <c r="H2" s="30"/>
    </row>
    <row r="3" spans="1:8" x14ac:dyDescent="0.2">
      <c r="A3" s="30"/>
      <c r="B3" s="150"/>
      <c r="C3" s="151"/>
      <c r="D3" s="151"/>
      <c r="E3" s="151"/>
      <c r="F3" s="151"/>
      <c r="G3" s="30"/>
      <c r="H3" s="30"/>
    </row>
    <row r="4" spans="1:8" ht="35" customHeight="1" x14ac:dyDescent="0.2">
      <c r="A4" s="31"/>
      <c r="B4" s="38" t="s">
        <v>0</v>
      </c>
      <c r="C4" s="38" t="s">
        <v>2</v>
      </c>
      <c r="D4" s="36"/>
      <c r="E4" s="30"/>
      <c r="F4" s="30"/>
      <c r="G4" s="30"/>
      <c r="H4" s="30"/>
    </row>
    <row r="5" spans="1:8" ht="19" x14ac:dyDescent="0.2">
      <c r="A5" s="31"/>
      <c r="B5" s="38" t="s">
        <v>1</v>
      </c>
      <c r="C5" s="38" t="s">
        <v>3</v>
      </c>
      <c r="D5" s="36"/>
      <c r="E5" s="30"/>
      <c r="F5" s="30"/>
      <c r="G5" s="30"/>
      <c r="H5" s="30"/>
    </row>
    <row r="6" spans="1:8" x14ac:dyDescent="0.2">
      <c r="A6" s="31"/>
      <c r="B6" s="21">
        <v>10</v>
      </c>
      <c r="C6" s="21">
        <v>4.2699999999999996</v>
      </c>
      <c r="D6" s="36"/>
      <c r="E6" s="30"/>
      <c r="F6" s="30"/>
      <c r="G6" s="30"/>
      <c r="H6" s="30"/>
    </row>
    <row r="7" spans="1:8" x14ac:dyDescent="0.2">
      <c r="A7" s="31"/>
      <c r="B7" s="21">
        <v>20</v>
      </c>
      <c r="C7" s="21">
        <v>8.5500000000000007</v>
      </c>
      <c r="D7" s="36"/>
      <c r="E7" s="30"/>
      <c r="F7" s="30"/>
      <c r="G7" s="30"/>
      <c r="H7" s="30"/>
    </row>
    <row r="8" spans="1:8" x14ac:dyDescent="0.2">
      <c r="A8" s="31"/>
      <c r="B8" s="21">
        <v>30</v>
      </c>
      <c r="C8" s="21">
        <v>15.32</v>
      </c>
      <c r="D8" s="36"/>
      <c r="E8" s="30"/>
      <c r="F8" s="30"/>
      <c r="G8" s="30"/>
      <c r="H8" s="30"/>
    </row>
    <row r="9" spans="1:8" x14ac:dyDescent="0.2">
      <c r="A9" s="31"/>
      <c r="B9" s="21">
        <v>40</v>
      </c>
      <c r="C9" s="21">
        <v>23.11</v>
      </c>
      <c r="D9" s="36"/>
      <c r="E9" s="30"/>
      <c r="F9" s="30"/>
      <c r="G9" s="30"/>
      <c r="H9" s="30"/>
    </row>
    <row r="10" spans="1:8" x14ac:dyDescent="0.2">
      <c r="A10" s="31"/>
      <c r="B10" s="21">
        <v>50</v>
      </c>
      <c r="C10" s="21">
        <v>32.880000000000003</v>
      </c>
      <c r="D10" s="36"/>
      <c r="E10" s="30"/>
      <c r="F10" s="30"/>
      <c r="G10" s="30"/>
      <c r="H10" s="30"/>
    </row>
    <row r="11" spans="1:8" x14ac:dyDescent="0.2">
      <c r="A11" s="31"/>
      <c r="B11" s="21">
        <v>60</v>
      </c>
      <c r="C11" s="21">
        <v>43.65</v>
      </c>
      <c r="D11" s="36"/>
      <c r="E11" s="30"/>
      <c r="F11" s="30"/>
      <c r="G11" s="30"/>
      <c r="H11" s="30"/>
    </row>
    <row r="12" spans="1:8" x14ac:dyDescent="0.2">
      <c r="A12" s="31"/>
      <c r="B12" s="21">
        <v>70</v>
      </c>
      <c r="C12" s="21">
        <v>56.4</v>
      </c>
      <c r="D12" s="36"/>
      <c r="E12" s="30"/>
      <c r="F12" s="30"/>
      <c r="G12" s="30"/>
      <c r="H12" s="30"/>
    </row>
    <row r="13" spans="1:8" x14ac:dyDescent="0.2">
      <c r="A13" s="31"/>
      <c r="B13" s="21">
        <v>80</v>
      </c>
      <c r="C13" s="21">
        <v>70.22</v>
      </c>
      <c r="D13" s="36"/>
      <c r="E13" s="30"/>
      <c r="F13" s="30"/>
      <c r="G13" s="30"/>
      <c r="H13" s="30"/>
    </row>
    <row r="14" spans="1:8" x14ac:dyDescent="0.2">
      <c r="A14" s="31"/>
      <c r="B14" s="21">
        <v>90</v>
      </c>
      <c r="C14" s="21">
        <v>86</v>
      </c>
      <c r="D14" s="36"/>
      <c r="E14" s="30"/>
      <c r="F14" s="30"/>
      <c r="G14" s="30"/>
      <c r="H14" s="30"/>
    </row>
    <row r="15" spans="1:8" x14ac:dyDescent="0.2">
      <c r="A15" s="31"/>
      <c r="B15" s="21">
        <v>100</v>
      </c>
      <c r="C15" s="21">
        <v>105.8</v>
      </c>
      <c r="D15" s="36"/>
      <c r="E15" s="30"/>
      <c r="F15" s="30"/>
      <c r="G15" s="30"/>
      <c r="H15" s="30"/>
    </row>
    <row r="16" spans="1:8" x14ac:dyDescent="0.2">
      <c r="A16" s="31"/>
      <c r="B16" s="21">
        <v>110</v>
      </c>
      <c r="C16" s="21">
        <v>120.55</v>
      </c>
      <c r="D16" s="36"/>
      <c r="E16" s="30"/>
      <c r="F16" s="30"/>
      <c r="G16" s="30"/>
      <c r="H16" s="30"/>
    </row>
    <row r="17" spans="1:8" x14ac:dyDescent="0.2">
      <c r="A17" s="31"/>
      <c r="B17" s="21">
        <v>120</v>
      </c>
      <c r="C17" s="21">
        <v>141.33000000000001</v>
      </c>
      <c r="D17" s="36"/>
      <c r="E17" s="30"/>
      <c r="F17" s="30"/>
      <c r="G17" s="30"/>
      <c r="H17" s="30"/>
    </row>
    <row r="18" spans="1:8" x14ac:dyDescent="0.2">
      <c r="A18" s="31"/>
      <c r="B18" s="21">
        <v>130</v>
      </c>
      <c r="C18" s="21">
        <v>166.11</v>
      </c>
      <c r="D18" s="36"/>
      <c r="E18" s="30"/>
      <c r="F18" s="30"/>
      <c r="G18" s="30"/>
      <c r="H18" s="30"/>
    </row>
    <row r="19" spans="1:8" x14ac:dyDescent="0.2">
      <c r="A19" s="31"/>
      <c r="B19" s="21">
        <v>140</v>
      </c>
      <c r="C19" s="21">
        <v>185.88</v>
      </c>
      <c r="D19" s="36"/>
      <c r="E19" s="30"/>
      <c r="F19" s="30"/>
      <c r="G19" s="30"/>
      <c r="H19" s="30"/>
    </row>
    <row r="20" spans="1:8" x14ac:dyDescent="0.2">
      <c r="A20" s="30"/>
      <c r="B20" s="39" t="s">
        <v>144</v>
      </c>
      <c r="D20" s="30"/>
      <c r="E20" s="30"/>
      <c r="F20" s="30"/>
      <c r="G20" s="30"/>
      <c r="H20" s="30"/>
    </row>
    <row r="21" spans="1:8" x14ac:dyDescent="0.2">
      <c r="A21" s="30"/>
      <c r="B21" s="40"/>
      <c r="C21" s="41"/>
      <c r="D21" s="41"/>
      <c r="E21" s="41"/>
      <c r="F21" s="42"/>
      <c r="G21" s="30"/>
      <c r="H21" s="30"/>
    </row>
    <row r="22" spans="1:8" ht="36" customHeight="1" x14ac:dyDescent="0.2">
      <c r="A22" s="31"/>
      <c r="B22" s="147" t="s">
        <v>89</v>
      </c>
      <c r="C22" s="148"/>
      <c r="D22" s="148"/>
      <c r="E22" s="149"/>
      <c r="F22" s="43" t="s">
        <v>133</v>
      </c>
      <c r="G22" s="36"/>
      <c r="H22" s="30"/>
    </row>
    <row r="23" spans="1:8" ht="24" customHeight="1" x14ac:dyDescent="0.25">
      <c r="A23" s="30"/>
      <c r="B23" s="146" t="s">
        <v>150</v>
      </c>
      <c r="C23" s="146"/>
      <c r="D23" s="146"/>
      <c r="E23" s="146"/>
      <c r="F23" s="79" t="s">
        <v>123</v>
      </c>
      <c r="G23" s="143" t="s">
        <v>164</v>
      </c>
      <c r="H23" s="30"/>
    </row>
    <row r="24" spans="1:8" ht="32" customHeight="1" x14ac:dyDescent="0.25">
      <c r="A24" s="30"/>
      <c r="B24" s="146" t="s">
        <v>38</v>
      </c>
      <c r="C24" s="146"/>
      <c r="D24" s="146"/>
      <c r="E24" s="146"/>
      <c r="F24" s="80" t="s">
        <v>117</v>
      </c>
      <c r="G24" s="30" t="s">
        <v>165</v>
      </c>
      <c r="H24" s="30"/>
    </row>
    <row r="25" spans="1:8" ht="32" customHeight="1" x14ac:dyDescent="0.25">
      <c r="A25" s="30"/>
      <c r="B25" s="146" t="s">
        <v>34</v>
      </c>
      <c r="C25" s="146"/>
      <c r="D25" s="146"/>
      <c r="E25" s="146"/>
      <c r="F25" s="80" t="s">
        <v>118</v>
      </c>
      <c r="G25" s="30" t="s">
        <v>166</v>
      </c>
      <c r="H25" s="30"/>
    </row>
    <row r="26" spans="1:8" ht="20" customHeight="1" x14ac:dyDescent="0.25">
      <c r="A26" s="30"/>
      <c r="B26" s="146" t="s">
        <v>53</v>
      </c>
      <c r="C26" s="146"/>
      <c r="D26" s="146"/>
      <c r="E26" s="146"/>
      <c r="F26" s="80" t="s">
        <v>119</v>
      </c>
      <c r="G26" s="30" t="s">
        <v>167</v>
      </c>
      <c r="H26" s="30"/>
    </row>
    <row r="27" spans="1:8" ht="32" customHeight="1" x14ac:dyDescent="0.25">
      <c r="A27" s="30"/>
      <c r="B27" s="146" t="s">
        <v>39</v>
      </c>
      <c r="C27" s="146"/>
      <c r="D27" s="146"/>
      <c r="E27" s="146"/>
      <c r="F27" s="80" t="s">
        <v>120</v>
      </c>
      <c r="G27" s="30" t="s">
        <v>168</v>
      </c>
      <c r="H27" s="30"/>
    </row>
    <row r="28" spans="1:8" ht="32" customHeight="1" x14ac:dyDescent="0.25">
      <c r="A28" s="30"/>
      <c r="B28" s="146" t="s">
        <v>125</v>
      </c>
      <c r="C28" s="146"/>
      <c r="D28" s="146"/>
      <c r="E28" s="146"/>
      <c r="F28" s="80" t="s">
        <v>121</v>
      </c>
      <c r="G28" s="30" t="s">
        <v>169</v>
      </c>
      <c r="H28" s="30"/>
    </row>
    <row r="29" spans="1:8" ht="32" customHeight="1" x14ac:dyDescent="0.25">
      <c r="A29" s="41"/>
      <c r="B29" s="146" t="s">
        <v>159</v>
      </c>
      <c r="C29" s="146"/>
      <c r="D29" s="146"/>
      <c r="E29" s="146"/>
      <c r="F29" s="80" t="s">
        <v>122</v>
      </c>
      <c r="G29" s="30" t="s">
        <v>170</v>
      </c>
      <c r="H29" s="30"/>
    </row>
    <row r="30" spans="1:8" ht="23" x14ac:dyDescent="0.25">
      <c r="A30" s="30"/>
      <c r="B30" s="30"/>
      <c r="C30" s="30"/>
      <c r="D30" s="30"/>
      <c r="E30" s="30"/>
      <c r="F30" s="78"/>
      <c r="G30" s="30"/>
      <c r="H30" s="30"/>
    </row>
    <row r="31" spans="1:8" x14ac:dyDescent="0.2">
      <c r="A31" s="30"/>
      <c r="B31" s="30"/>
      <c r="C31" s="30"/>
      <c r="D31" s="30"/>
      <c r="E31" s="30"/>
      <c r="F31" s="31"/>
      <c r="G31" s="30"/>
      <c r="H31" s="30"/>
    </row>
    <row r="32" spans="1:8" x14ac:dyDescent="0.2">
      <c r="A32" s="30"/>
      <c r="B32" s="30"/>
      <c r="C32" s="30"/>
      <c r="D32" s="30"/>
      <c r="E32" s="30"/>
      <c r="F32" s="31"/>
      <c r="G32" s="30"/>
      <c r="H32" s="30"/>
    </row>
    <row r="33" spans="1:8" x14ac:dyDescent="0.2">
      <c r="A33" s="30"/>
      <c r="B33" s="30"/>
      <c r="C33" s="30"/>
      <c r="D33" s="30"/>
      <c r="E33" s="30"/>
      <c r="F33" s="30"/>
      <c r="G33" s="30"/>
      <c r="H33" s="30"/>
    </row>
    <row r="34" spans="1:8" x14ac:dyDescent="0.2">
      <c r="A34" s="30"/>
      <c r="B34" s="30"/>
      <c r="C34" s="30"/>
      <c r="D34" s="30"/>
      <c r="E34" s="30"/>
      <c r="F34" s="30"/>
      <c r="G34" s="30"/>
      <c r="H34" s="30"/>
    </row>
    <row r="35" spans="1:8" x14ac:dyDescent="0.2">
      <c r="A35" s="30"/>
      <c r="B35" s="30"/>
      <c r="C35" s="30"/>
      <c r="D35" s="30"/>
      <c r="E35" s="30"/>
      <c r="F35" s="30"/>
      <c r="G35" s="30"/>
      <c r="H35" s="30"/>
    </row>
  </sheetData>
  <mergeCells count="9">
    <mergeCell ref="B27:E27"/>
    <mergeCell ref="B28:E28"/>
    <mergeCell ref="B29:E29"/>
    <mergeCell ref="B22:E22"/>
    <mergeCell ref="B2:F3"/>
    <mergeCell ref="B23:E23"/>
    <mergeCell ref="B24:E24"/>
    <mergeCell ref="B25:E25"/>
    <mergeCell ref="B26:E26"/>
  </mergeCells>
  <phoneticPr fontId="5" type="noConversion"/>
  <hyperlinks>
    <hyperlink ref="B20" r:id="rId1" display="http://www.politiarutiera.ro/forum/showthread.php?1573-Distanta-de-franare-in-functie-de-viteza" xr:uid="{96034042-3A05-974F-8233-D64939899235}"/>
    <hyperlink ref="F24" location="'Cerinta 2'!A1" display="'Cerinta 2'!A1" xr:uid="{5E12538B-C65E-3746-B664-7839B7863795}"/>
    <hyperlink ref="F25" location="'Cerinta 3'!A1" display="'Cerinta 3'!A1" xr:uid="{A71BB830-7A2B-174A-BF34-803F3C943A4C}"/>
    <hyperlink ref="F26" location="'Cerinta 4'!A1" display="'Cerinta 4'!A1" xr:uid="{0E0B1A1F-A397-E944-9631-A9B3167EB78F}"/>
    <hyperlink ref="F27" location="'Cerinta 5'!A1" display="'Cerinta 5'!A1" xr:uid="{2AD8175F-7D47-A641-8331-50E657BDB5A5}"/>
    <hyperlink ref="F28" location="'Cerinta 6'!A1" display="'Cerinta 6'!A1" xr:uid="{E170A191-A7ED-8440-96BE-0B50190A548B}"/>
    <hyperlink ref="F29" location="'Cerinta 7'!A1" display="'Cerinta 7'!A1" xr:uid="{58DF8897-473C-D843-8D33-72940D0C1F93}"/>
    <hyperlink ref="F23" location="'Cerința 1'!A1" display="'Cerința 1'!A1" xr:uid="{5868CF3F-AB85-6544-8ADF-668EC2679DC9}"/>
    <hyperlink ref="G23" location="'Cerința 1'!A1" display="Foaia de calcul 1" xr:uid="{B09D49F4-F37E-5D4C-AD4E-57E937A4CAC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AD43A-B654-264A-B0CF-65C69B622C97}">
  <sheetPr>
    <tabColor theme="5" tint="0.79998168889431442"/>
  </sheetPr>
  <dimension ref="A1:Y35"/>
  <sheetViews>
    <sheetView workbookViewId="0">
      <selection activeCell="B9" sqref="B9"/>
    </sheetView>
  </sheetViews>
  <sheetFormatPr baseColWidth="10" defaultColWidth="8.83203125" defaultRowHeight="18" x14ac:dyDescent="0.2"/>
  <cols>
    <col min="1" max="1" width="24.33203125" style="30" customWidth="1"/>
    <col min="2" max="2" width="24.83203125" style="30" customWidth="1"/>
    <col min="3" max="3" width="23" style="30" customWidth="1"/>
    <col min="4" max="4" width="23.5" style="30" customWidth="1"/>
    <col min="5" max="5" width="16" style="30" customWidth="1"/>
    <col min="6" max="6" width="20.5" style="30" customWidth="1"/>
    <col min="7" max="16384" width="8.83203125" style="30"/>
  </cols>
  <sheetData>
    <row r="1" spans="1:25" x14ac:dyDescent="0.2">
      <c r="E1" s="32"/>
      <c r="F1" s="32"/>
    </row>
    <row r="2" spans="1:25" ht="35" customHeight="1" x14ac:dyDescent="0.2">
      <c r="A2" s="136" t="s">
        <v>149</v>
      </c>
      <c r="B2" s="107"/>
      <c r="C2" s="107"/>
      <c r="D2" s="107"/>
      <c r="E2" s="32"/>
      <c r="F2" s="32"/>
    </row>
    <row r="3" spans="1:25" ht="26" customHeight="1" x14ac:dyDescent="0.2">
      <c r="B3" s="137" t="s">
        <v>79</v>
      </c>
      <c r="C3" s="138"/>
      <c r="D3" s="138"/>
      <c r="E3" s="32"/>
      <c r="F3" s="32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39"/>
    </row>
    <row r="4" spans="1:25" ht="28" customHeight="1" x14ac:dyDescent="0.2">
      <c r="B4" s="140" t="s">
        <v>80</v>
      </c>
      <c r="C4" s="138"/>
      <c r="D4" s="138"/>
      <c r="K4" s="139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</row>
    <row r="5" spans="1:25" x14ac:dyDescent="0.2">
      <c r="B5" s="140" t="s">
        <v>107</v>
      </c>
      <c r="C5" s="138"/>
      <c r="D5" s="138"/>
      <c r="K5" s="139"/>
      <c r="L5" s="139"/>
      <c r="M5" s="139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</row>
    <row r="6" spans="1:25" x14ac:dyDescent="0.2">
      <c r="B6" s="140" t="s">
        <v>81</v>
      </c>
      <c r="C6" s="138"/>
      <c r="D6" s="138"/>
      <c r="K6" s="139"/>
      <c r="L6" s="139"/>
      <c r="M6" s="139"/>
      <c r="N6" s="139"/>
      <c r="O6" s="139"/>
      <c r="P6" s="139"/>
      <c r="Q6" s="139"/>
      <c r="R6" s="139"/>
      <c r="S6" s="139"/>
      <c r="T6" s="139"/>
      <c r="U6" s="139"/>
      <c r="V6" s="139"/>
      <c r="W6" s="139"/>
      <c r="X6" s="139"/>
      <c r="Y6" s="139"/>
    </row>
    <row r="7" spans="1:25" x14ac:dyDescent="0.2">
      <c r="B7" s="140" t="s">
        <v>82</v>
      </c>
      <c r="C7" s="138"/>
      <c r="D7" s="138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39"/>
      <c r="Y7" s="139"/>
    </row>
    <row r="8" spans="1:25" x14ac:dyDescent="0.2">
      <c r="B8" s="137" t="s">
        <v>83</v>
      </c>
      <c r="C8" s="138"/>
      <c r="D8" s="138"/>
    </row>
    <row r="9" spans="1:25" x14ac:dyDescent="0.2">
      <c r="B9" s="140" t="s">
        <v>84</v>
      </c>
      <c r="C9" s="138"/>
      <c r="D9" s="138"/>
    </row>
    <row r="10" spans="1:25" x14ac:dyDescent="0.2">
      <c r="B10" s="140" t="s">
        <v>85</v>
      </c>
      <c r="C10" s="138"/>
      <c r="D10" s="138"/>
    </row>
    <row r="11" spans="1:25" x14ac:dyDescent="0.2">
      <c r="B11" s="140" t="s">
        <v>86</v>
      </c>
      <c r="C11" s="138"/>
      <c r="D11" s="138"/>
    </row>
    <row r="12" spans="1:25" x14ac:dyDescent="0.2">
      <c r="B12" s="140" t="s">
        <v>87</v>
      </c>
      <c r="C12" s="138"/>
      <c r="D12" s="138"/>
    </row>
    <row r="13" spans="1:25" ht="18" customHeight="1" x14ac:dyDescent="0.2">
      <c r="B13" s="140" t="s">
        <v>88</v>
      </c>
      <c r="C13" s="138"/>
      <c r="D13" s="138"/>
    </row>
    <row r="18" spans="1:6" x14ac:dyDescent="0.2">
      <c r="A18" s="41"/>
      <c r="B18" s="41"/>
      <c r="C18" s="41"/>
      <c r="D18" s="41"/>
    </row>
    <row r="19" spans="1:6" ht="38" x14ac:dyDescent="0.25">
      <c r="A19" s="38" t="s">
        <v>0</v>
      </c>
      <c r="B19" s="38" t="s">
        <v>2</v>
      </c>
      <c r="C19" s="152" t="s">
        <v>146</v>
      </c>
      <c r="D19" s="152"/>
      <c r="E19" s="36"/>
    </row>
    <row r="20" spans="1:6" ht="47" customHeight="1" x14ac:dyDescent="0.2">
      <c r="A20" s="38" t="s">
        <v>1</v>
      </c>
      <c r="B20" s="38" t="s">
        <v>3</v>
      </c>
      <c r="C20" s="142" t="s">
        <v>147</v>
      </c>
      <c r="D20" s="142" t="s">
        <v>148</v>
      </c>
      <c r="E20" s="36"/>
    </row>
    <row r="21" spans="1:6" x14ac:dyDescent="0.2">
      <c r="A21" s="21">
        <v>10</v>
      </c>
      <c r="B21" s="21">
        <v>4.2699999999999996</v>
      </c>
      <c r="C21" s="134">
        <v>2.77</v>
      </c>
      <c r="D21" s="134">
        <v>1.5</v>
      </c>
      <c r="E21" s="36"/>
    </row>
    <row r="22" spans="1:6" x14ac:dyDescent="0.2">
      <c r="A22" s="21">
        <v>20</v>
      </c>
      <c r="B22" s="21">
        <v>8.5500000000000007</v>
      </c>
      <c r="C22" s="134">
        <v>5.55</v>
      </c>
      <c r="D22" s="134">
        <v>3</v>
      </c>
      <c r="E22" s="36"/>
    </row>
    <row r="23" spans="1:6" ht="25" customHeight="1" x14ac:dyDescent="0.2">
      <c r="A23" s="21">
        <v>30</v>
      </c>
      <c r="B23" s="21">
        <v>15.32</v>
      </c>
      <c r="C23" s="134">
        <v>8.32</v>
      </c>
      <c r="D23" s="134">
        <v>7</v>
      </c>
      <c r="E23" s="36"/>
    </row>
    <row r="24" spans="1:6" ht="24" customHeight="1" x14ac:dyDescent="0.2">
      <c r="A24" s="21">
        <v>40</v>
      </c>
      <c r="B24" s="21">
        <v>23.11</v>
      </c>
      <c r="C24" s="134">
        <v>11.11</v>
      </c>
      <c r="D24" s="134">
        <v>12</v>
      </c>
      <c r="E24" s="36"/>
    </row>
    <row r="25" spans="1:6" x14ac:dyDescent="0.2">
      <c r="A25" s="21">
        <v>50</v>
      </c>
      <c r="B25" s="21">
        <v>32.880000000000003</v>
      </c>
      <c r="C25" s="134">
        <v>13.88</v>
      </c>
      <c r="D25" s="134">
        <v>19</v>
      </c>
      <c r="E25" s="36"/>
    </row>
    <row r="26" spans="1:6" x14ac:dyDescent="0.2">
      <c r="A26" s="21">
        <v>60</v>
      </c>
      <c r="B26" s="21">
        <v>43.65</v>
      </c>
      <c r="C26" s="134">
        <v>16.649999999999999</v>
      </c>
      <c r="D26" s="134">
        <v>27</v>
      </c>
      <c r="E26" s="36"/>
    </row>
    <row r="27" spans="1:6" x14ac:dyDescent="0.2">
      <c r="A27" s="21">
        <v>70</v>
      </c>
      <c r="B27" s="21">
        <v>56.4</v>
      </c>
      <c r="C27" s="134">
        <v>19.399999999999999</v>
      </c>
      <c r="D27" s="134">
        <v>37</v>
      </c>
      <c r="E27" s="36"/>
    </row>
    <row r="28" spans="1:6" x14ac:dyDescent="0.2">
      <c r="A28" s="21">
        <v>80</v>
      </c>
      <c r="B28" s="21">
        <v>70.22</v>
      </c>
      <c r="C28" s="134">
        <v>22.22</v>
      </c>
      <c r="D28" s="134">
        <v>48</v>
      </c>
      <c r="E28" s="36"/>
    </row>
    <row r="29" spans="1:6" x14ac:dyDescent="0.2">
      <c r="A29" s="21">
        <v>90</v>
      </c>
      <c r="B29" s="21">
        <v>86</v>
      </c>
      <c r="C29" s="134">
        <v>25</v>
      </c>
      <c r="D29" s="134">
        <v>61</v>
      </c>
      <c r="E29" s="36"/>
    </row>
    <row r="30" spans="1:6" x14ac:dyDescent="0.2">
      <c r="A30" s="21">
        <v>100</v>
      </c>
      <c r="B30" s="21">
        <v>105.8</v>
      </c>
      <c r="C30" s="134">
        <v>27.8</v>
      </c>
      <c r="D30" s="134">
        <v>78</v>
      </c>
      <c r="E30" s="36"/>
    </row>
    <row r="31" spans="1:6" x14ac:dyDescent="0.2">
      <c r="A31" s="21">
        <v>110</v>
      </c>
      <c r="B31" s="21">
        <v>120.55</v>
      </c>
      <c r="C31" s="134">
        <v>30.55</v>
      </c>
      <c r="D31" s="134">
        <v>90</v>
      </c>
      <c r="E31" s="36"/>
    </row>
    <row r="32" spans="1:6" ht="20" customHeight="1" x14ac:dyDescent="0.2">
      <c r="A32" s="21">
        <v>120</v>
      </c>
      <c r="B32" s="21">
        <v>141.33000000000001</v>
      </c>
      <c r="C32" s="134">
        <v>33.33</v>
      </c>
      <c r="D32" s="134">
        <v>108</v>
      </c>
      <c r="E32" s="36"/>
      <c r="F32" s="144" t="s">
        <v>171</v>
      </c>
    </row>
    <row r="33" spans="1:5" x14ac:dyDescent="0.2">
      <c r="A33" s="21">
        <v>130</v>
      </c>
      <c r="B33" s="21">
        <v>166.11</v>
      </c>
      <c r="C33" s="134">
        <v>36.11</v>
      </c>
      <c r="D33" s="134">
        <v>130</v>
      </c>
      <c r="E33" s="36"/>
    </row>
    <row r="34" spans="1:5" x14ac:dyDescent="0.2">
      <c r="A34" s="21">
        <v>140</v>
      </c>
      <c r="B34" s="21">
        <v>185.88</v>
      </c>
      <c r="C34" s="134">
        <v>38.880000000000003</v>
      </c>
      <c r="D34" s="134">
        <v>147</v>
      </c>
      <c r="E34" s="36"/>
    </row>
    <row r="35" spans="1:5" x14ac:dyDescent="0.2">
      <c r="A35" s="37"/>
      <c r="B35" s="37"/>
      <c r="C35" s="37"/>
      <c r="D35" s="37"/>
    </row>
  </sheetData>
  <mergeCells count="1">
    <mergeCell ref="C19:D19"/>
  </mergeCells>
  <hyperlinks>
    <hyperlink ref="F32" location="'Aplicatia propusa '!A1" display="Revenire la cuprins" xr:uid="{283813E5-8595-6B40-9304-CD8AC43ACC9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95CF9-C72F-458D-BC65-BF3BB28C51B3}">
  <sheetPr>
    <tabColor theme="8" tint="0.59999389629810485"/>
  </sheetPr>
  <dimension ref="A2:R59"/>
  <sheetViews>
    <sheetView zoomScale="150" zoomScaleNormal="150" workbookViewId="0">
      <selection activeCell="K5" sqref="K5"/>
    </sheetView>
  </sheetViews>
  <sheetFormatPr baseColWidth="10" defaultColWidth="8.83203125" defaultRowHeight="18" x14ac:dyDescent="0.2"/>
  <cols>
    <col min="1" max="1" width="24.33203125" style="4" customWidth="1"/>
    <col min="2" max="2" width="17.83203125" style="4" customWidth="1"/>
    <col min="3" max="5" width="12.5" style="4" customWidth="1"/>
    <col min="6" max="6" width="15.6640625" style="4" customWidth="1"/>
    <col min="7" max="8" width="12.5" style="4" customWidth="1"/>
    <col min="9" max="9" width="10" style="4" bestFit="1" customWidth="1"/>
    <col min="10" max="10" width="40.83203125" style="4" customWidth="1"/>
    <col min="11" max="11" width="12" style="4" customWidth="1"/>
    <col min="12" max="12" width="8.83203125" style="4"/>
    <col min="13" max="13" width="14.5" style="4" customWidth="1"/>
    <col min="14" max="14" width="8.6640625" style="4" customWidth="1"/>
    <col min="15" max="15" width="16" style="4" customWidth="1"/>
    <col min="16" max="16384" width="8.83203125" style="4"/>
  </cols>
  <sheetData>
    <row r="2" spans="1:18" s="70" customFormat="1" ht="30" customHeight="1" thickBot="1" x14ac:dyDescent="0.25">
      <c r="A2" s="91" t="s">
        <v>38</v>
      </c>
      <c r="B2" s="71"/>
      <c r="C2" s="71"/>
      <c r="D2" s="71"/>
      <c r="E2" s="71"/>
      <c r="F2" s="71"/>
      <c r="G2" s="71"/>
      <c r="H2" s="71"/>
      <c r="I2" s="71"/>
      <c r="J2" s="71"/>
      <c r="K2" s="66"/>
      <c r="L2" s="66"/>
      <c r="M2" s="67" t="s">
        <v>160</v>
      </c>
      <c r="N2" s="68"/>
      <c r="O2" s="68"/>
      <c r="P2" s="68"/>
      <c r="Q2" s="69"/>
      <c r="R2" s="69"/>
    </row>
    <row r="3" spans="1:18" ht="52" customHeight="1" x14ac:dyDescent="0.2">
      <c r="A3" s="16" t="s">
        <v>0</v>
      </c>
      <c r="B3" s="33" t="s">
        <v>2</v>
      </c>
      <c r="C3" s="30"/>
      <c r="D3" s="30"/>
      <c r="E3" s="49" t="s">
        <v>4</v>
      </c>
      <c r="F3" s="20" t="s">
        <v>91</v>
      </c>
      <c r="G3" s="20" t="s">
        <v>92</v>
      </c>
      <c r="H3" s="20" t="s">
        <v>93</v>
      </c>
      <c r="I3" s="20" t="s">
        <v>94</v>
      </c>
      <c r="J3" s="5" t="s">
        <v>37</v>
      </c>
      <c r="N3" s="13"/>
      <c r="O3" s="13"/>
      <c r="P3" s="13"/>
    </row>
    <row r="4" spans="1:18" ht="20" thickBot="1" x14ac:dyDescent="0.25">
      <c r="A4" s="18" t="s">
        <v>1</v>
      </c>
      <c r="B4" s="34" t="s">
        <v>3</v>
      </c>
      <c r="C4" s="30"/>
      <c r="D4" s="30"/>
      <c r="E4" s="50" t="s">
        <v>95</v>
      </c>
      <c r="F4" s="21">
        <v>10</v>
      </c>
      <c r="G4" s="21">
        <v>4.2699999999999996</v>
      </c>
      <c r="H4" s="22">
        <f t="shared" ref="H4:H17" si="0">F4^2</f>
        <v>100</v>
      </c>
      <c r="I4" s="21">
        <f t="shared" ref="I4:I17" si="1">F4*G4</f>
        <v>42.699999999999996</v>
      </c>
    </row>
    <row r="5" spans="1:18" ht="20" thickBot="1" x14ac:dyDescent="0.25">
      <c r="A5" s="6">
        <v>10</v>
      </c>
      <c r="B5" s="35">
        <v>4.2699999999999996</v>
      </c>
      <c r="C5" s="30"/>
      <c r="D5" s="30"/>
      <c r="E5" s="50" t="s">
        <v>96</v>
      </c>
      <c r="F5" s="21">
        <v>20</v>
      </c>
      <c r="G5" s="21">
        <v>8.5500000000000007</v>
      </c>
      <c r="H5" s="22">
        <f t="shared" si="0"/>
        <v>400</v>
      </c>
      <c r="I5" s="21">
        <f t="shared" si="1"/>
        <v>171</v>
      </c>
      <c r="J5" s="8" t="s">
        <v>105</v>
      </c>
      <c r="K5" s="55">
        <f>INTERCEPT('Cerinta 3'!C4:C19,'Cerinta 3'!B4:B19)</f>
        <v>-30.034505494505481</v>
      </c>
    </row>
    <row r="6" spans="1:18" ht="20" thickBot="1" x14ac:dyDescent="0.25">
      <c r="A6" s="6">
        <v>20</v>
      </c>
      <c r="B6" s="35">
        <v>8.5500000000000007</v>
      </c>
      <c r="C6" s="30"/>
      <c r="D6" s="30"/>
      <c r="E6" s="50" t="s">
        <v>97</v>
      </c>
      <c r="F6" s="21">
        <v>30</v>
      </c>
      <c r="G6" s="21">
        <v>15.32</v>
      </c>
      <c r="H6" s="22">
        <f t="shared" si="0"/>
        <v>900</v>
      </c>
      <c r="I6" s="21">
        <f t="shared" si="1"/>
        <v>459.6</v>
      </c>
      <c r="J6" s="8" t="s">
        <v>106</v>
      </c>
      <c r="K6" s="55">
        <f>SLOPE('Cerinta 3'!C4:C19,'Cerinta 3'!B4:B19)</f>
        <v>1.4100505494505495</v>
      </c>
    </row>
    <row r="7" spans="1:18" ht="20" thickBot="1" x14ac:dyDescent="0.25">
      <c r="A7" s="6">
        <v>30</v>
      </c>
      <c r="B7" s="35">
        <v>15.32</v>
      </c>
      <c r="C7" s="30"/>
      <c r="D7" s="30"/>
      <c r="E7" s="50" t="s">
        <v>98</v>
      </c>
      <c r="F7" s="21">
        <v>40</v>
      </c>
      <c r="G7" s="21">
        <v>23.11</v>
      </c>
      <c r="H7" s="22">
        <f t="shared" si="0"/>
        <v>1600</v>
      </c>
      <c r="I7" s="21">
        <f t="shared" si="1"/>
        <v>924.4</v>
      </c>
    </row>
    <row r="8" spans="1:18" ht="20" thickBot="1" x14ac:dyDescent="0.25">
      <c r="A8" s="6">
        <v>40</v>
      </c>
      <c r="B8" s="35">
        <v>23.11</v>
      </c>
      <c r="C8" s="30"/>
      <c r="D8" s="30"/>
      <c r="E8" s="50" t="s">
        <v>99</v>
      </c>
      <c r="F8" s="21">
        <v>50</v>
      </c>
      <c r="G8" s="21">
        <v>32.880000000000003</v>
      </c>
      <c r="H8" s="22">
        <f t="shared" si="0"/>
        <v>2500</v>
      </c>
      <c r="I8" s="21">
        <f t="shared" si="1"/>
        <v>1644.0000000000002</v>
      </c>
      <c r="J8" s="30"/>
      <c r="K8" s="30"/>
    </row>
    <row r="9" spans="1:18" ht="20" thickBot="1" x14ac:dyDescent="0.25">
      <c r="A9" s="6">
        <v>50</v>
      </c>
      <c r="B9" s="35">
        <v>32.880000000000003</v>
      </c>
      <c r="C9" s="30"/>
      <c r="D9" s="30"/>
      <c r="E9" s="50" t="s">
        <v>100</v>
      </c>
      <c r="F9" s="21">
        <v>60</v>
      </c>
      <c r="G9" s="21">
        <v>43.65</v>
      </c>
      <c r="H9" s="22">
        <f t="shared" si="0"/>
        <v>3600</v>
      </c>
      <c r="I9" s="21">
        <f t="shared" si="1"/>
        <v>2619</v>
      </c>
      <c r="J9" s="30"/>
      <c r="K9" s="30"/>
    </row>
    <row r="10" spans="1:18" ht="20" thickBot="1" x14ac:dyDescent="0.25">
      <c r="A10" s="6">
        <v>60</v>
      </c>
      <c r="B10" s="35">
        <v>43.65</v>
      </c>
      <c r="C10" s="30"/>
      <c r="D10" s="30"/>
      <c r="E10" s="50" t="s">
        <v>101</v>
      </c>
      <c r="F10" s="21">
        <v>70</v>
      </c>
      <c r="G10" s="21">
        <v>56.4</v>
      </c>
      <c r="H10" s="22">
        <f t="shared" si="0"/>
        <v>4900</v>
      </c>
      <c r="I10" s="21">
        <f t="shared" si="1"/>
        <v>3948</v>
      </c>
      <c r="J10" s="30"/>
      <c r="K10" s="30"/>
    </row>
    <row r="11" spans="1:18" ht="25" customHeight="1" thickBot="1" x14ac:dyDescent="0.25">
      <c r="A11" s="6">
        <v>70</v>
      </c>
      <c r="B11" s="35">
        <v>56.4</v>
      </c>
      <c r="C11" s="30"/>
      <c r="D11" s="30"/>
      <c r="E11" s="50" t="s">
        <v>102</v>
      </c>
      <c r="F11" s="21">
        <v>80</v>
      </c>
      <c r="G11" s="21">
        <v>70.22</v>
      </c>
      <c r="H11" s="22">
        <f t="shared" si="0"/>
        <v>6400</v>
      </c>
      <c r="I11" s="21">
        <f t="shared" si="1"/>
        <v>5617.6</v>
      </c>
      <c r="J11" s="153" t="s">
        <v>90</v>
      </c>
      <c r="K11" s="30"/>
    </row>
    <row r="12" spans="1:18" ht="18" customHeight="1" thickBot="1" x14ac:dyDescent="0.25">
      <c r="A12" s="6">
        <v>80</v>
      </c>
      <c r="B12" s="35">
        <v>70.22</v>
      </c>
      <c r="C12" s="30"/>
      <c r="D12" s="30"/>
      <c r="E12" s="50" t="s">
        <v>103</v>
      </c>
      <c r="F12" s="21">
        <v>90</v>
      </c>
      <c r="G12" s="21">
        <v>86</v>
      </c>
      <c r="H12" s="22">
        <f t="shared" si="0"/>
        <v>8100</v>
      </c>
      <c r="I12" s="21">
        <f t="shared" si="1"/>
        <v>7740</v>
      </c>
      <c r="J12" s="154"/>
      <c r="K12" s="30"/>
    </row>
    <row r="13" spans="1:18" ht="18" customHeight="1" thickBot="1" x14ac:dyDescent="0.25">
      <c r="A13" s="6">
        <v>90</v>
      </c>
      <c r="B13" s="35">
        <v>86</v>
      </c>
      <c r="C13" s="30"/>
      <c r="D13" s="30"/>
      <c r="E13" s="50" t="s">
        <v>104</v>
      </c>
      <c r="F13" s="21">
        <v>100</v>
      </c>
      <c r="G13" s="21">
        <v>105.8</v>
      </c>
      <c r="H13" s="22">
        <f t="shared" si="0"/>
        <v>10000</v>
      </c>
      <c r="I13" s="21">
        <f t="shared" si="1"/>
        <v>10580</v>
      </c>
      <c r="J13" s="30"/>
      <c r="K13" s="30"/>
    </row>
    <row r="14" spans="1:18" ht="20" thickBot="1" x14ac:dyDescent="0.25">
      <c r="A14" s="6">
        <v>100</v>
      </c>
      <c r="B14" s="35">
        <v>105.8</v>
      </c>
      <c r="C14" s="30"/>
      <c r="D14" s="30"/>
      <c r="E14" s="50" t="s">
        <v>6</v>
      </c>
      <c r="F14" s="21">
        <v>110</v>
      </c>
      <c r="G14" s="21">
        <v>120.55</v>
      </c>
      <c r="H14" s="22">
        <f t="shared" si="0"/>
        <v>12100</v>
      </c>
      <c r="I14" s="21">
        <f t="shared" si="1"/>
        <v>13260.5</v>
      </c>
      <c r="J14" s="30"/>
      <c r="K14" s="30"/>
    </row>
    <row r="15" spans="1:18" ht="20" thickBot="1" x14ac:dyDescent="0.25">
      <c r="A15" s="6">
        <v>110</v>
      </c>
      <c r="B15" s="35">
        <v>120.55</v>
      </c>
      <c r="C15" s="30"/>
      <c r="D15" s="30"/>
      <c r="E15" s="50" t="s">
        <v>7</v>
      </c>
      <c r="F15" s="21">
        <v>120</v>
      </c>
      <c r="G15" s="21">
        <v>141.33000000000001</v>
      </c>
      <c r="H15" s="22">
        <f t="shared" si="0"/>
        <v>14400</v>
      </c>
      <c r="I15" s="21">
        <f t="shared" si="1"/>
        <v>16959.600000000002</v>
      </c>
      <c r="J15" s="30"/>
      <c r="K15" s="54">
        <f>(G18*H18-I18*F18)/(14*H18-F18^2)</f>
        <v>-30.034505494505495</v>
      </c>
    </row>
    <row r="16" spans="1:18" ht="20" thickBot="1" x14ac:dyDescent="0.25">
      <c r="A16" s="6">
        <v>120</v>
      </c>
      <c r="B16" s="35">
        <v>141.33000000000001</v>
      </c>
      <c r="C16" s="30"/>
      <c r="D16" s="30"/>
      <c r="E16" s="50" t="s">
        <v>8</v>
      </c>
      <c r="F16" s="21">
        <v>130</v>
      </c>
      <c r="G16" s="21">
        <v>166.11</v>
      </c>
      <c r="H16" s="22">
        <f t="shared" si="0"/>
        <v>16900</v>
      </c>
      <c r="I16" s="21">
        <f t="shared" si="1"/>
        <v>21594.300000000003</v>
      </c>
      <c r="J16" s="30"/>
      <c r="K16" s="30"/>
    </row>
    <row r="17" spans="1:17" ht="20" thickBot="1" x14ac:dyDescent="0.25">
      <c r="A17" s="6">
        <v>130</v>
      </c>
      <c r="B17" s="35">
        <v>166.11</v>
      </c>
      <c r="C17" s="30"/>
      <c r="D17" s="30"/>
      <c r="E17" s="50" t="s">
        <v>9</v>
      </c>
      <c r="F17" s="21">
        <v>140</v>
      </c>
      <c r="G17" s="21">
        <v>185.88</v>
      </c>
      <c r="H17" s="22">
        <f t="shared" si="0"/>
        <v>19600</v>
      </c>
      <c r="I17" s="21">
        <f t="shared" si="1"/>
        <v>26023.200000000001</v>
      </c>
      <c r="J17" s="30"/>
      <c r="K17" s="30"/>
    </row>
    <row r="18" spans="1:17" ht="20" thickBot="1" x14ac:dyDescent="0.25">
      <c r="A18" s="6">
        <v>140</v>
      </c>
      <c r="B18" s="35">
        <v>185.88</v>
      </c>
      <c r="C18" s="30"/>
      <c r="D18" s="30"/>
      <c r="E18" s="51" t="s">
        <v>5</v>
      </c>
      <c r="F18" s="23">
        <f>SUM(F4:F17)</f>
        <v>1050</v>
      </c>
      <c r="G18" s="23">
        <f>SUM(G4:G17)</f>
        <v>1060.0700000000002</v>
      </c>
      <c r="H18" s="23">
        <f>SUM(H4:H17)</f>
        <v>101500</v>
      </c>
      <c r="I18" s="24">
        <f>SUM(I4:I17)</f>
        <v>111583.90000000001</v>
      </c>
      <c r="J18" s="30"/>
      <c r="K18" s="54">
        <f>(14*I18-F18*G18)/(14*H18-F18^2)</f>
        <v>1.4100505494505491</v>
      </c>
    </row>
    <row r="19" spans="1:17" x14ac:dyDescent="0.2"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</row>
    <row r="20" spans="1:17" x14ac:dyDescent="0.2"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</row>
    <row r="21" spans="1:17" ht="31" customHeight="1" x14ac:dyDescent="0.2">
      <c r="A21" s="155" t="s">
        <v>36</v>
      </c>
      <c r="B21" s="155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4" t="s">
        <v>161</v>
      </c>
      <c r="Q21" s="135" t="s">
        <v>162</v>
      </c>
    </row>
    <row r="22" spans="1:17" x14ac:dyDescent="0.2">
      <c r="A22" s="4" t="s">
        <v>11</v>
      </c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</row>
    <row r="23" spans="1:17" ht="19" thickBot="1" x14ac:dyDescent="0.25"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</row>
    <row r="24" spans="1:17" x14ac:dyDescent="0.2">
      <c r="A24" s="25" t="s">
        <v>12</v>
      </c>
      <c r="B24" s="25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</row>
    <row r="25" spans="1:17" ht="24" x14ac:dyDescent="0.25">
      <c r="A25" s="4" t="s">
        <v>13</v>
      </c>
      <c r="B25" s="4">
        <v>0.98174180230740604</v>
      </c>
      <c r="C25" s="30"/>
      <c r="D25" s="30"/>
      <c r="E25" s="30"/>
      <c r="F25" s="30"/>
      <c r="G25" s="30"/>
      <c r="H25" s="30"/>
      <c r="I25" s="30"/>
      <c r="J25" s="82" t="s">
        <v>124</v>
      </c>
      <c r="K25" s="30"/>
      <c r="L25" s="30"/>
      <c r="M25" s="30"/>
    </row>
    <row r="26" spans="1:17" ht="24" x14ac:dyDescent="0.3">
      <c r="A26" s="4" t="s">
        <v>14</v>
      </c>
      <c r="B26" s="26">
        <v>0.96381696639779391</v>
      </c>
      <c r="C26" s="30"/>
      <c r="D26" s="30"/>
      <c r="E26" s="30"/>
      <c r="F26" s="30"/>
      <c r="G26" s="30"/>
      <c r="H26" s="30"/>
      <c r="I26" s="30"/>
      <c r="J26" s="81"/>
      <c r="K26" s="30"/>
      <c r="L26" s="30"/>
      <c r="M26" s="30"/>
    </row>
    <row r="27" spans="1:17" x14ac:dyDescent="0.2">
      <c r="A27" s="4" t="s">
        <v>15</v>
      </c>
      <c r="B27" s="4">
        <v>0.96080171359761002</v>
      </c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</row>
    <row r="28" spans="1:17" x14ac:dyDescent="0.2">
      <c r="A28" s="4" t="s">
        <v>10</v>
      </c>
      <c r="B28" s="4">
        <v>11.89569892413947</v>
      </c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</row>
    <row r="29" spans="1:17" ht="19" thickBot="1" x14ac:dyDescent="0.25">
      <c r="A29" s="15" t="s">
        <v>16</v>
      </c>
      <c r="B29" s="15">
        <v>14</v>
      </c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</row>
    <row r="30" spans="1:17" x14ac:dyDescent="0.2"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</row>
    <row r="31" spans="1:17" ht="19" thickBot="1" x14ac:dyDescent="0.25">
      <c r="A31" s="4" t="s">
        <v>17</v>
      </c>
      <c r="C31" s="45"/>
      <c r="D31" s="30"/>
      <c r="E31" s="30"/>
      <c r="F31" s="30"/>
      <c r="G31" s="30"/>
      <c r="H31" s="30"/>
      <c r="I31" s="30"/>
      <c r="J31" s="30"/>
      <c r="K31" s="30"/>
      <c r="L31" s="30"/>
      <c r="M31" s="30"/>
    </row>
    <row r="32" spans="1:17" x14ac:dyDescent="0.2">
      <c r="A32" s="14"/>
      <c r="B32" s="14" t="s">
        <v>21</v>
      </c>
      <c r="C32" s="44" t="s">
        <v>22</v>
      </c>
      <c r="D32" s="44" t="s">
        <v>23</v>
      </c>
      <c r="E32" s="14" t="s">
        <v>24</v>
      </c>
      <c r="F32" s="14" t="s">
        <v>25</v>
      </c>
    </row>
    <row r="33" spans="1:9" x14ac:dyDescent="0.2">
      <c r="A33" s="4" t="s">
        <v>18</v>
      </c>
      <c r="B33" s="4">
        <v>1</v>
      </c>
      <c r="C33" s="4">
        <v>45232.518058131871</v>
      </c>
      <c r="D33" s="4">
        <v>45232.518058131871</v>
      </c>
      <c r="E33" s="4">
        <v>319.64715075930945</v>
      </c>
      <c r="F33" s="4">
        <v>5.1426455288018896E-10</v>
      </c>
    </row>
    <row r="34" spans="1:9" x14ac:dyDescent="0.2">
      <c r="A34" s="4" t="s">
        <v>19</v>
      </c>
      <c r="B34" s="4">
        <v>12</v>
      </c>
      <c r="C34" s="4">
        <v>1698.0918347252752</v>
      </c>
      <c r="D34" s="4">
        <v>141.50765289377293</v>
      </c>
    </row>
    <row r="35" spans="1:9" ht="19" thickBot="1" x14ac:dyDescent="0.25">
      <c r="A35" s="15" t="s">
        <v>5</v>
      </c>
      <c r="B35" s="15">
        <v>13</v>
      </c>
      <c r="C35" s="15">
        <v>46930.609892857145</v>
      </c>
      <c r="D35" s="15"/>
      <c r="E35" s="15"/>
      <c r="F35" s="15"/>
    </row>
    <row r="37" spans="1:9" x14ac:dyDescent="0.2">
      <c r="B37" s="53" t="s">
        <v>26</v>
      </c>
      <c r="C37" s="4" t="s">
        <v>10</v>
      </c>
      <c r="D37" s="4" t="s">
        <v>27</v>
      </c>
      <c r="E37" s="4" t="s">
        <v>28</v>
      </c>
      <c r="F37" s="4" t="s">
        <v>29</v>
      </c>
      <c r="G37" s="4" t="s">
        <v>30</v>
      </c>
      <c r="H37" s="4" t="s">
        <v>31</v>
      </c>
      <c r="I37" s="4" t="s">
        <v>32</v>
      </c>
    </row>
    <row r="38" spans="1:9" x14ac:dyDescent="0.2">
      <c r="A38" s="4" t="s">
        <v>20</v>
      </c>
      <c r="B38" s="53">
        <v>-30.034505494505481</v>
      </c>
      <c r="C38" s="4">
        <v>6.7153440289895707</v>
      </c>
      <c r="D38" s="4">
        <v>-4.4725192581123272</v>
      </c>
      <c r="E38" s="4">
        <v>7.6230141667339387E-4</v>
      </c>
      <c r="F38" s="4">
        <v>-44.665983220497175</v>
      </c>
      <c r="G38" s="4">
        <v>-15.403027768513788</v>
      </c>
      <c r="H38" s="4">
        <v>-44.665983220497175</v>
      </c>
      <c r="I38" s="4">
        <v>-15.403027768513788</v>
      </c>
    </row>
    <row r="39" spans="1:9" x14ac:dyDescent="0.2">
      <c r="A39" s="4" t="s">
        <v>33</v>
      </c>
      <c r="B39" s="53">
        <v>1.4100505494505495</v>
      </c>
      <c r="C39" s="4">
        <v>7.8867715896400181E-2</v>
      </c>
      <c r="D39" s="4">
        <v>17.878678663685118</v>
      </c>
      <c r="E39" s="4">
        <v>5.1426455288018896E-10</v>
      </c>
      <c r="F39" s="4">
        <v>1.2382125582089227</v>
      </c>
      <c r="G39" s="4">
        <v>1.5818885406921763</v>
      </c>
      <c r="H39" s="4">
        <v>1.2382125582089227</v>
      </c>
      <c r="I39" s="4">
        <v>1.5818885406921763</v>
      </c>
    </row>
    <row r="43" spans="1:9" x14ac:dyDescent="0.2">
      <c r="A43" s="4" t="s">
        <v>66</v>
      </c>
      <c r="F43" s="4" t="s">
        <v>67</v>
      </c>
    </row>
    <row r="44" spans="1:9" ht="19" thickBot="1" x14ac:dyDescent="0.25"/>
    <row r="45" spans="1:9" x14ac:dyDescent="0.2">
      <c r="A45" s="14" t="s">
        <v>68</v>
      </c>
      <c r="B45" s="14" t="s">
        <v>69</v>
      </c>
      <c r="C45" s="14" t="s">
        <v>70</v>
      </c>
      <c r="D45" s="14" t="s">
        <v>71</v>
      </c>
      <c r="F45" s="14" t="s">
        <v>72</v>
      </c>
      <c r="G45" s="14" t="s">
        <v>73</v>
      </c>
    </row>
    <row r="46" spans="1:9" x14ac:dyDescent="0.2">
      <c r="A46" s="4">
        <v>1</v>
      </c>
      <c r="B46" s="4">
        <v>-15.933999999999987</v>
      </c>
      <c r="C46" s="4">
        <v>20.203999999999986</v>
      </c>
      <c r="D46" s="4">
        <v>1.7677809484513407</v>
      </c>
      <c r="F46" s="4">
        <v>3.5714285714285716</v>
      </c>
      <c r="G46" s="4">
        <v>4.2699999999999996</v>
      </c>
    </row>
    <row r="47" spans="1:9" x14ac:dyDescent="0.2">
      <c r="A47" s="4">
        <v>2</v>
      </c>
      <c r="B47" s="4">
        <v>-1.8334945054944924</v>
      </c>
      <c r="C47" s="4">
        <v>10.383494505494493</v>
      </c>
      <c r="D47" s="4">
        <v>0.90852028138796037</v>
      </c>
      <c r="F47" s="4">
        <v>10.714285714285715</v>
      </c>
      <c r="G47" s="4">
        <v>8.5500000000000007</v>
      </c>
    </row>
    <row r="48" spans="1:9" x14ac:dyDescent="0.2">
      <c r="A48" s="4">
        <v>3</v>
      </c>
      <c r="B48" s="4">
        <v>12.267010989011006</v>
      </c>
      <c r="C48" s="4">
        <v>3.0529890109889948</v>
      </c>
      <c r="D48" s="4">
        <v>0.26712610420994104</v>
      </c>
      <c r="F48" s="4">
        <v>17.857142857142858</v>
      </c>
      <c r="G48" s="4">
        <v>15.32</v>
      </c>
    </row>
    <row r="49" spans="1:7" x14ac:dyDescent="0.2">
      <c r="A49" s="4">
        <v>4</v>
      </c>
      <c r="B49" s="4">
        <v>26.367516483516496</v>
      </c>
      <c r="C49" s="4">
        <v>-3.2575164835164969</v>
      </c>
      <c r="D49" s="4">
        <v>-0.28502155903913445</v>
      </c>
      <c r="F49" s="4">
        <v>25.000000000000004</v>
      </c>
      <c r="G49" s="4">
        <v>23.11</v>
      </c>
    </row>
    <row r="50" spans="1:7" x14ac:dyDescent="0.2">
      <c r="A50" s="4">
        <v>5</v>
      </c>
      <c r="B50" s="4">
        <v>40.468021978021994</v>
      </c>
      <c r="C50" s="4">
        <v>-7.5880219780219917</v>
      </c>
      <c r="D50" s="4">
        <v>-0.6639259893673205</v>
      </c>
      <c r="F50" s="4">
        <v>32.142857142857146</v>
      </c>
      <c r="G50" s="4">
        <v>32.880000000000003</v>
      </c>
    </row>
    <row r="51" spans="1:7" x14ac:dyDescent="0.2">
      <c r="A51" s="4">
        <v>6</v>
      </c>
      <c r="B51" s="4">
        <v>54.568527472527492</v>
      </c>
      <c r="C51" s="4">
        <v>-10.918527472527494</v>
      </c>
      <c r="D51" s="4">
        <v>-0.95533383741222955</v>
      </c>
      <c r="F51" s="4">
        <v>39.285714285714285</v>
      </c>
      <c r="G51" s="4">
        <v>43.65</v>
      </c>
    </row>
    <row r="52" spans="1:7" x14ac:dyDescent="0.2">
      <c r="A52" s="4">
        <v>7</v>
      </c>
      <c r="B52" s="4">
        <v>68.66903296703299</v>
      </c>
      <c r="C52" s="4">
        <v>-12.269032967032992</v>
      </c>
      <c r="D52" s="4">
        <v>-1.0734984525362483</v>
      </c>
      <c r="F52" s="4">
        <v>46.428571428571431</v>
      </c>
      <c r="G52" s="4">
        <v>56.4</v>
      </c>
    </row>
    <row r="53" spans="1:7" x14ac:dyDescent="0.2">
      <c r="A53" s="4">
        <v>8</v>
      </c>
      <c r="B53" s="4">
        <v>82.769538461538474</v>
      </c>
      <c r="C53" s="4">
        <v>-12.549538461538475</v>
      </c>
      <c r="D53" s="4">
        <v>-1.098041724617159</v>
      </c>
      <c r="F53" s="4">
        <v>53.571428571428569</v>
      </c>
      <c r="G53" s="4">
        <v>70.22</v>
      </c>
    </row>
    <row r="54" spans="1:7" x14ac:dyDescent="0.2">
      <c r="A54" s="4">
        <v>9</v>
      </c>
      <c r="B54" s="4">
        <v>96.870043956043972</v>
      </c>
      <c r="C54" s="4">
        <v>-10.870043956043972</v>
      </c>
      <c r="D54" s="4">
        <v>-0.95109169542284644</v>
      </c>
      <c r="F54" s="4">
        <v>60.714285714285715</v>
      </c>
      <c r="G54" s="4">
        <v>86</v>
      </c>
    </row>
    <row r="55" spans="1:7" x14ac:dyDescent="0.2">
      <c r="A55" s="4">
        <v>10</v>
      </c>
      <c r="B55" s="4">
        <v>110.97054945054947</v>
      </c>
      <c r="C55" s="4">
        <v>-5.1705494505494727</v>
      </c>
      <c r="D55" s="4">
        <v>-0.45240540544975805</v>
      </c>
      <c r="F55" s="4">
        <v>67.857142857142861</v>
      </c>
      <c r="G55" s="4">
        <v>105.8</v>
      </c>
    </row>
    <row r="56" spans="1:7" x14ac:dyDescent="0.2">
      <c r="A56" s="4">
        <v>11</v>
      </c>
      <c r="B56" s="4">
        <v>125.07105494505495</v>
      </c>
      <c r="C56" s="4">
        <v>-4.5210549450549564</v>
      </c>
      <c r="D56" s="4">
        <v>-0.39557685600722037</v>
      </c>
      <c r="F56" s="4">
        <v>75</v>
      </c>
      <c r="G56" s="4">
        <v>120.55</v>
      </c>
    </row>
    <row r="57" spans="1:7" x14ac:dyDescent="0.2">
      <c r="A57" s="4">
        <v>12</v>
      </c>
      <c r="B57" s="4">
        <v>139.17156043956047</v>
      </c>
      <c r="C57" s="4">
        <v>2.1584395604395468</v>
      </c>
      <c r="D57" s="4">
        <v>0.18885608460348047</v>
      </c>
      <c r="F57" s="4">
        <v>82.142857142857139</v>
      </c>
      <c r="G57" s="4">
        <v>141.33000000000001</v>
      </c>
    </row>
    <row r="58" spans="1:7" x14ac:dyDescent="0.2">
      <c r="A58" s="4">
        <v>13</v>
      </c>
      <c r="B58" s="4">
        <v>153.27206593406595</v>
      </c>
      <c r="C58" s="4">
        <v>12.837934065934064</v>
      </c>
      <c r="D58" s="4">
        <v>1.1232753543472931</v>
      </c>
      <c r="F58" s="4">
        <v>89.285714285714292</v>
      </c>
      <c r="G58" s="4">
        <v>166.11</v>
      </c>
    </row>
    <row r="59" spans="1:7" ht="19" thickBot="1" x14ac:dyDescent="0.25">
      <c r="A59" s="15">
        <v>14</v>
      </c>
      <c r="B59" s="15">
        <v>167.37257142857146</v>
      </c>
      <c r="C59" s="15">
        <v>18.507428571428534</v>
      </c>
      <c r="D59" s="15">
        <v>1.6193367468518807</v>
      </c>
      <c r="F59" s="15">
        <v>96.428571428571431</v>
      </c>
      <c r="G59" s="15">
        <v>185.88</v>
      </c>
    </row>
  </sheetData>
  <mergeCells count="2">
    <mergeCell ref="J11:J12"/>
    <mergeCell ref="A21:B21"/>
  </mergeCells>
  <phoneticPr fontId="5" type="noConversion"/>
  <pageMargins left="0.7" right="0.7" top="0.75" bottom="0.75" header="0.3" footer="0.3"/>
  <pageSetup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80121-1B14-4766-9C84-9CD9CD132A01}">
  <sheetPr>
    <tabColor theme="7" tint="0.39997558519241921"/>
  </sheetPr>
  <dimension ref="B1:V49"/>
  <sheetViews>
    <sheetView topLeftCell="A11" zoomScale="75" workbookViewId="0">
      <selection activeCell="Q32" sqref="Q32"/>
    </sheetView>
  </sheetViews>
  <sheetFormatPr baseColWidth="10" defaultColWidth="8.83203125" defaultRowHeight="18" x14ac:dyDescent="0.2"/>
  <cols>
    <col min="1" max="1" width="8.83203125" style="4"/>
    <col min="2" max="2" width="12.83203125" style="4" customWidth="1"/>
    <col min="3" max="3" width="18.83203125" style="4" customWidth="1"/>
    <col min="4" max="6" width="8.83203125" style="4"/>
    <col min="7" max="7" width="9" style="4" bestFit="1" customWidth="1"/>
    <col min="8" max="8" width="12.6640625" style="4" customWidth="1"/>
    <col min="9" max="9" width="9" style="4" bestFit="1" customWidth="1"/>
    <col min="10" max="10" width="10" style="4" bestFit="1" customWidth="1"/>
    <col min="11" max="11" width="23.5" style="4" customWidth="1"/>
    <col min="12" max="12" width="17.83203125" style="4" customWidth="1"/>
    <col min="13" max="13" width="14.83203125" style="4" customWidth="1"/>
    <col min="14" max="14" width="13.5" style="4" bestFit="1" customWidth="1"/>
    <col min="15" max="16" width="8.83203125" style="4"/>
    <col min="17" max="17" width="27" style="4" customWidth="1"/>
    <col min="18" max="18" width="13.6640625" style="4" customWidth="1"/>
    <col min="19" max="19" width="14.83203125" style="4" customWidth="1"/>
    <col min="20" max="16384" width="8.83203125" style="4"/>
  </cols>
  <sheetData>
    <row r="1" spans="2:22" x14ac:dyDescent="0.2">
      <c r="P1" s="158"/>
      <c r="Q1" s="159"/>
      <c r="R1" s="30"/>
    </row>
    <row r="2" spans="2:22" ht="36" customHeight="1" x14ac:dyDescent="0.2">
      <c r="B2" s="90" t="s">
        <v>110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158"/>
      <c r="Q2" s="159"/>
      <c r="R2" s="30"/>
    </row>
    <row r="3" spans="2:22" x14ac:dyDescent="0.2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158"/>
      <c r="Q3" s="159"/>
      <c r="R3" s="30"/>
      <c r="S3" s="30"/>
    </row>
    <row r="4" spans="2:22" ht="38" x14ac:dyDescent="0.2">
      <c r="B4" s="119" t="s">
        <v>0</v>
      </c>
      <c r="C4" s="119" t="s">
        <v>2</v>
      </c>
      <c r="D4" s="30"/>
      <c r="E4" s="30"/>
      <c r="F4" s="41"/>
      <c r="I4" s="41"/>
      <c r="J4" s="41"/>
      <c r="K4" s="41"/>
      <c r="L4" s="41"/>
      <c r="M4" s="41"/>
      <c r="N4" s="41"/>
      <c r="O4" s="30"/>
      <c r="P4" s="158"/>
      <c r="Q4" s="159"/>
      <c r="R4" s="30"/>
      <c r="S4" s="46"/>
      <c r="T4" s="46"/>
      <c r="U4" s="46"/>
      <c r="V4" s="40"/>
    </row>
    <row r="5" spans="2:22" ht="35" customHeight="1" x14ac:dyDescent="0.2">
      <c r="B5" s="119" t="s">
        <v>1</v>
      </c>
      <c r="C5" s="119" t="s">
        <v>3</v>
      </c>
      <c r="D5" s="36"/>
      <c r="E5" s="31"/>
      <c r="F5" s="111" t="s">
        <v>4</v>
      </c>
      <c r="G5" s="111" t="s">
        <v>126</v>
      </c>
      <c r="H5" s="111" t="s">
        <v>127</v>
      </c>
      <c r="I5" s="111" t="s">
        <v>128</v>
      </c>
      <c r="J5" s="111" t="s">
        <v>129</v>
      </c>
      <c r="K5" s="110" t="s">
        <v>35</v>
      </c>
      <c r="L5" s="110" t="s">
        <v>131</v>
      </c>
      <c r="M5" s="112" t="s">
        <v>130</v>
      </c>
      <c r="N5" s="113"/>
      <c r="O5" s="157"/>
      <c r="P5" s="158"/>
      <c r="Q5" s="159" t="s">
        <v>154</v>
      </c>
      <c r="R5" s="30"/>
      <c r="S5" s="30"/>
      <c r="V5" s="47"/>
    </row>
    <row r="6" spans="2:22" ht="19" x14ac:dyDescent="0.2">
      <c r="B6" s="130">
        <v>10</v>
      </c>
      <c r="C6" s="130">
        <v>4.2699999999999996</v>
      </c>
      <c r="D6" s="36"/>
      <c r="E6" s="31"/>
      <c r="F6" s="131" t="s">
        <v>95</v>
      </c>
      <c r="G6" s="130">
        <v>10</v>
      </c>
      <c r="H6" s="130">
        <v>4.2699999999999996</v>
      </c>
      <c r="I6" s="94">
        <f t="shared" ref="I6:I19" si="0">G6^2</f>
        <v>100</v>
      </c>
      <c r="J6" s="93">
        <f t="shared" ref="J6:J19" si="1">G6*H6</f>
        <v>42.699999999999996</v>
      </c>
      <c r="K6" s="117">
        <f>R12+R13*G$6</f>
        <v>-15.933999999999987</v>
      </c>
      <c r="L6" s="115">
        <f>(H6-K6)^2</f>
        <v>408.20161599999943</v>
      </c>
      <c r="M6" s="114">
        <f>(H6-R11)^2</f>
        <v>5103.6736000000001</v>
      </c>
      <c r="N6" s="116">
        <f>H6^2</f>
        <v>18.232899999999997</v>
      </c>
      <c r="O6" s="158"/>
      <c r="P6" s="158"/>
      <c r="Q6" s="159"/>
      <c r="R6" s="30"/>
      <c r="S6" s="30"/>
      <c r="V6" s="47"/>
    </row>
    <row r="7" spans="2:22" ht="19" x14ac:dyDescent="0.2">
      <c r="B7" s="130">
        <v>20</v>
      </c>
      <c r="C7" s="130">
        <v>8.5500000000000007</v>
      </c>
      <c r="D7" s="36"/>
      <c r="E7" s="31"/>
      <c r="F7" s="131" t="s">
        <v>96</v>
      </c>
      <c r="G7" s="130">
        <v>20</v>
      </c>
      <c r="H7" s="130">
        <v>8.5500000000000007</v>
      </c>
      <c r="I7" s="94">
        <f t="shared" si="0"/>
        <v>400</v>
      </c>
      <c r="J7" s="93">
        <f t="shared" si="1"/>
        <v>171</v>
      </c>
      <c r="K7" s="117">
        <f>R12+R13*G$7</f>
        <v>-1.8334945054944924</v>
      </c>
      <c r="L7" s="115">
        <f t="shared" ref="L7:L19" si="2">(H7-K7)^2</f>
        <v>107.81695814563433</v>
      </c>
      <c r="M7" s="114">
        <f t="shared" ref="M7:M19" si="3">(H7-R9)^2</f>
        <v>73.102500000000006</v>
      </c>
      <c r="N7" s="116">
        <f t="shared" ref="N7:N19" si="4">H7^2</f>
        <v>73.102500000000006</v>
      </c>
      <c r="O7" s="36"/>
      <c r="P7" s="95"/>
      <c r="Q7" s="162" t="s">
        <v>154</v>
      </c>
      <c r="R7" s="30"/>
      <c r="S7" s="30"/>
      <c r="V7" s="47"/>
    </row>
    <row r="8" spans="2:22" ht="25" customHeight="1" x14ac:dyDescent="0.2">
      <c r="B8" s="130">
        <v>30</v>
      </c>
      <c r="C8" s="130">
        <v>15.32</v>
      </c>
      <c r="D8" s="36"/>
      <c r="E8" s="31"/>
      <c r="F8" s="131" t="s">
        <v>97</v>
      </c>
      <c r="G8" s="130">
        <v>30</v>
      </c>
      <c r="H8" s="130">
        <v>15.32</v>
      </c>
      <c r="I8" s="94">
        <f t="shared" si="0"/>
        <v>900</v>
      </c>
      <c r="J8" s="93">
        <f t="shared" si="1"/>
        <v>459.6</v>
      </c>
      <c r="K8" s="117">
        <f>R12+R13*G8</f>
        <v>12.267010989011006</v>
      </c>
      <c r="L8" s="115">
        <f t="shared" si="2"/>
        <v>9.3207419012195611</v>
      </c>
      <c r="M8" s="114">
        <f t="shared" si="3"/>
        <v>234.70240000000001</v>
      </c>
      <c r="N8" s="116">
        <f t="shared" si="4"/>
        <v>234.70240000000001</v>
      </c>
      <c r="O8" s="95"/>
      <c r="P8" s="36"/>
      <c r="Q8" s="162"/>
      <c r="S8" s="30"/>
      <c r="V8" s="47"/>
    </row>
    <row r="9" spans="2:22" ht="19" x14ac:dyDescent="0.2">
      <c r="B9" s="130">
        <v>40</v>
      </c>
      <c r="C9" s="130">
        <v>23.11</v>
      </c>
      <c r="D9" s="36"/>
      <c r="E9" s="31"/>
      <c r="F9" s="131" t="s">
        <v>98</v>
      </c>
      <c r="G9" s="130">
        <v>40</v>
      </c>
      <c r="H9" s="130">
        <v>23.11</v>
      </c>
      <c r="I9" s="94">
        <f t="shared" si="0"/>
        <v>1600</v>
      </c>
      <c r="J9" s="93">
        <f t="shared" si="1"/>
        <v>924.4</v>
      </c>
      <c r="K9" s="117">
        <f>R12+R13*G9</f>
        <v>26.367516483516496</v>
      </c>
      <c r="L9" s="115">
        <f t="shared" si="2"/>
        <v>10.611413640381684</v>
      </c>
      <c r="M9" s="114">
        <f t="shared" si="3"/>
        <v>2766.7599999999993</v>
      </c>
      <c r="N9" s="116">
        <f t="shared" si="4"/>
        <v>534.07209999999998</v>
      </c>
      <c r="O9" s="95"/>
      <c r="P9" s="95"/>
      <c r="Q9" s="96"/>
      <c r="R9" s="30"/>
      <c r="S9" s="30"/>
      <c r="V9" s="47"/>
    </row>
    <row r="10" spans="2:22" ht="19" x14ac:dyDescent="0.2">
      <c r="B10" s="130">
        <v>50</v>
      </c>
      <c r="C10" s="130">
        <v>32.880000000000003</v>
      </c>
      <c r="D10" s="36"/>
      <c r="E10" s="31"/>
      <c r="F10" s="131" t="s">
        <v>99</v>
      </c>
      <c r="G10" s="130">
        <v>50</v>
      </c>
      <c r="H10" s="130">
        <v>32.880000000000003</v>
      </c>
      <c r="I10" s="94">
        <f t="shared" si="0"/>
        <v>2500</v>
      </c>
      <c r="J10" s="93">
        <f t="shared" si="1"/>
        <v>1644.0000000000002</v>
      </c>
      <c r="K10" s="117">
        <f>R12+R13*G10</f>
        <v>40.468021978021994</v>
      </c>
      <c r="L10" s="115">
        <f t="shared" si="2"/>
        <v>57.578077538944783</v>
      </c>
      <c r="M10" s="114">
        <f t="shared" si="3"/>
        <v>3958.2350016181608</v>
      </c>
      <c r="N10" s="116">
        <f t="shared" si="4"/>
        <v>1081.0944000000002</v>
      </c>
      <c r="O10" s="95"/>
      <c r="P10" s="36"/>
      <c r="S10" s="30"/>
      <c r="V10" s="47"/>
    </row>
    <row r="11" spans="2:22" ht="19" x14ac:dyDescent="0.2">
      <c r="B11" s="130">
        <v>60</v>
      </c>
      <c r="C11" s="130">
        <v>43.65</v>
      </c>
      <c r="D11" s="36"/>
      <c r="E11" s="31"/>
      <c r="F11" s="131" t="s">
        <v>100</v>
      </c>
      <c r="G11" s="130">
        <v>60</v>
      </c>
      <c r="H11" s="130">
        <v>43.65</v>
      </c>
      <c r="I11" s="94">
        <f t="shared" si="0"/>
        <v>3600</v>
      </c>
      <c r="J11" s="93">
        <f t="shared" si="1"/>
        <v>2619</v>
      </c>
      <c r="K11" s="117">
        <f>R12+R13*G11</f>
        <v>54.568527472527492</v>
      </c>
      <c r="L11" s="115">
        <f t="shared" si="2"/>
        <v>119.21424216833762</v>
      </c>
      <c r="M11" s="114">
        <f t="shared" si="3"/>
        <v>1784.2133295849724</v>
      </c>
      <c r="N11" s="116">
        <f t="shared" si="4"/>
        <v>1905.3224999999998</v>
      </c>
      <c r="O11" s="95"/>
      <c r="P11" s="95"/>
      <c r="Q11" s="129" t="s">
        <v>153</v>
      </c>
      <c r="R11" s="97">
        <v>75.709999999999994</v>
      </c>
      <c r="S11" s="30"/>
      <c r="V11" s="47"/>
    </row>
    <row r="12" spans="2:22" ht="19" x14ac:dyDescent="0.2">
      <c r="B12" s="130">
        <v>70</v>
      </c>
      <c r="C12" s="130">
        <v>56.4</v>
      </c>
      <c r="D12" s="36"/>
      <c r="E12" s="31"/>
      <c r="F12" s="131" t="s">
        <v>101</v>
      </c>
      <c r="G12" s="130">
        <v>70</v>
      </c>
      <c r="H12" s="130">
        <v>56.4</v>
      </c>
      <c r="I12" s="94">
        <f t="shared" si="0"/>
        <v>4900</v>
      </c>
      <c r="J12" s="93">
        <f t="shared" si="1"/>
        <v>3948</v>
      </c>
      <c r="K12" s="117">
        <f>R12+R13*G12</f>
        <v>68.66903296703299</v>
      </c>
      <c r="L12" s="115">
        <f t="shared" si="2"/>
        <v>150.52916994614236</v>
      </c>
      <c r="M12" s="114">
        <f t="shared" si="3"/>
        <v>3180.96</v>
      </c>
      <c r="N12" s="116">
        <f t="shared" si="4"/>
        <v>3180.96</v>
      </c>
      <c r="O12" s="95"/>
      <c r="P12" s="95"/>
      <c r="Q12" s="128" t="s">
        <v>152</v>
      </c>
      <c r="R12" s="98">
        <f>INTERCEPT(C6:C19,B6:B19)</f>
        <v>-30.034505494505481</v>
      </c>
      <c r="S12" s="30"/>
      <c r="V12" s="47"/>
    </row>
    <row r="13" spans="2:22" ht="19" x14ac:dyDescent="0.2">
      <c r="B13" s="130">
        <v>80</v>
      </c>
      <c r="C13" s="130">
        <v>70.22</v>
      </c>
      <c r="D13" s="36"/>
      <c r="E13" s="31"/>
      <c r="F13" s="131" t="s">
        <v>102</v>
      </c>
      <c r="G13" s="130">
        <v>80</v>
      </c>
      <c r="H13" s="130">
        <v>70.22</v>
      </c>
      <c r="I13" s="94">
        <f t="shared" si="0"/>
        <v>6400</v>
      </c>
      <c r="J13" s="93">
        <f t="shared" si="1"/>
        <v>5617.6</v>
      </c>
      <c r="K13" s="117">
        <f>R12+R13*G13</f>
        <v>82.769538461538474</v>
      </c>
      <c r="L13" s="115">
        <f t="shared" si="2"/>
        <v>157.49091559763349</v>
      </c>
      <c r="M13" s="114">
        <f t="shared" si="3"/>
        <v>4930.8483999999999</v>
      </c>
      <c r="N13" s="116">
        <f t="shared" si="4"/>
        <v>4930.8483999999999</v>
      </c>
      <c r="O13" s="95"/>
      <c r="P13" s="95"/>
      <c r="Q13" s="128" t="s">
        <v>151</v>
      </c>
      <c r="R13" s="98">
        <f>SLOPE(C6:C19,B6:B19)</f>
        <v>1.4100505494505495</v>
      </c>
      <c r="S13" s="30"/>
      <c r="V13" s="47"/>
    </row>
    <row r="14" spans="2:22" ht="17" customHeight="1" x14ac:dyDescent="0.2">
      <c r="B14" s="130">
        <v>90</v>
      </c>
      <c r="C14" s="130">
        <v>86</v>
      </c>
      <c r="D14" s="36"/>
      <c r="E14" s="31"/>
      <c r="F14" s="131" t="s">
        <v>103</v>
      </c>
      <c r="G14" s="130">
        <v>90</v>
      </c>
      <c r="H14" s="130">
        <v>86</v>
      </c>
      <c r="I14" s="94">
        <f t="shared" si="0"/>
        <v>8100</v>
      </c>
      <c r="J14" s="93">
        <f t="shared" si="1"/>
        <v>7740</v>
      </c>
      <c r="K14" s="117">
        <f>R12+R13*G14</f>
        <v>96.870043956043972</v>
      </c>
      <c r="L14" s="115">
        <f t="shared" si="2"/>
        <v>118.15785560632808</v>
      </c>
      <c r="M14" s="114">
        <f t="shared" si="3"/>
        <v>7396</v>
      </c>
      <c r="N14" s="116">
        <f t="shared" si="4"/>
        <v>7396</v>
      </c>
      <c r="O14" s="95"/>
      <c r="P14" s="95"/>
      <c r="Q14" s="96"/>
      <c r="R14" s="30"/>
      <c r="S14" s="30"/>
      <c r="V14" s="47"/>
    </row>
    <row r="15" spans="2:22" ht="19" x14ac:dyDescent="0.2">
      <c r="B15" s="130">
        <v>100</v>
      </c>
      <c r="C15" s="130">
        <v>105.8</v>
      </c>
      <c r="D15" s="36"/>
      <c r="E15" s="31"/>
      <c r="F15" s="131" t="s">
        <v>104</v>
      </c>
      <c r="G15" s="130">
        <v>100</v>
      </c>
      <c r="H15" s="130">
        <v>105.8</v>
      </c>
      <c r="I15" s="94">
        <f t="shared" si="0"/>
        <v>10000</v>
      </c>
      <c r="J15" s="93">
        <f t="shared" si="1"/>
        <v>10580</v>
      </c>
      <c r="K15" s="117">
        <f>R12+R13*G15</f>
        <v>110.97054945054947</v>
      </c>
      <c r="L15" s="115">
        <f t="shared" si="2"/>
        <v>26.734581620577455</v>
      </c>
      <c r="M15" s="114">
        <f t="shared" si="3"/>
        <v>11193.64</v>
      </c>
      <c r="N15" s="116">
        <f t="shared" si="4"/>
        <v>11193.64</v>
      </c>
      <c r="O15" s="95"/>
      <c r="P15" s="95"/>
      <c r="S15" s="30"/>
      <c r="V15" s="47"/>
    </row>
    <row r="16" spans="2:22" ht="17.5" customHeight="1" x14ac:dyDescent="0.2">
      <c r="B16" s="130">
        <v>110</v>
      </c>
      <c r="C16" s="130">
        <v>120.55</v>
      </c>
      <c r="D16" s="36"/>
      <c r="E16" s="31"/>
      <c r="F16" s="131" t="s">
        <v>6</v>
      </c>
      <c r="G16" s="130">
        <v>110</v>
      </c>
      <c r="H16" s="130">
        <v>120.55</v>
      </c>
      <c r="I16" s="94">
        <f t="shared" si="0"/>
        <v>12100</v>
      </c>
      <c r="J16" s="93">
        <f t="shared" si="1"/>
        <v>13260.5</v>
      </c>
      <c r="K16" s="118">
        <f>R12+R13*G16</f>
        <v>125.07105494505495</v>
      </c>
      <c r="L16" s="115">
        <f t="shared" si="2"/>
        <v>20.439937816205877</v>
      </c>
      <c r="M16" s="114">
        <f t="shared" si="3"/>
        <v>14532.3025</v>
      </c>
      <c r="N16" s="116">
        <f t="shared" si="4"/>
        <v>14532.3025</v>
      </c>
      <c r="O16" s="95"/>
      <c r="P16" s="95"/>
      <c r="Q16" s="96"/>
      <c r="R16" s="30"/>
      <c r="S16" s="30"/>
      <c r="V16" s="47"/>
    </row>
    <row r="17" spans="2:22" ht="19" x14ac:dyDescent="0.2">
      <c r="B17" s="130">
        <v>120</v>
      </c>
      <c r="C17" s="130">
        <v>141.33000000000001</v>
      </c>
      <c r="D17" s="36"/>
      <c r="E17" s="31"/>
      <c r="F17" s="131" t="s">
        <v>7</v>
      </c>
      <c r="G17" s="130">
        <v>120</v>
      </c>
      <c r="H17" s="130">
        <v>141.33000000000001</v>
      </c>
      <c r="I17" s="94">
        <f t="shared" si="0"/>
        <v>14400</v>
      </c>
      <c r="J17" s="93">
        <f t="shared" si="1"/>
        <v>16959.600000000002</v>
      </c>
      <c r="K17" s="118">
        <f>R12+R13*G17</f>
        <v>139.17156043956047</v>
      </c>
      <c r="L17" s="115">
        <f t="shared" si="2"/>
        <v>4.6588613360704638</v>
      </c>
      <c r="M17" s="114">
        <f t="shared" si="3"/>
        <v>19974.168900000004</v>
      </c>
      <c r="N17" s="116">
        <f t="shared" si="4"/>
        <v>19974.168900000004</v>
      </c>
      <c r="O17" s="95"/>
      <c r="P17" s="95"/>
      <c r="Q17" s="52"/>
      <c r="R17" s="30"/>
      <c r="S17" s="30"/>
      <c r="V17" s="47"/>
    </row>
    <row r="18" spans="2:22" ht="19" x14ac:dyDescent="0.2">
      <c r="B18" s="130">
        <v>130</v>
      </c>
      <c r="C18" s="130">
        <v>166.11</v>
      </c>
      <c r="D18" s="36"/>
      <c r="E18" s="31"/>
      <c r="F18" s="131" t="s">
        <v>8</v>
      </c>
      <c r="G18" s="130">
        <v>130</v>
      </c>
      <c r="H18" s="130">
        <v>166.11</v>
      </c>
      <c r="I18" s="94">
        <f t="shared" si="0"/>
        <v>16900</v>
      </c>
      <c r="J18" s="93">
        <f t="shared" si="1"/>
        <v>21594.300000000003</v>
      </c>
      <c r="K18" s="118">
        <f>R12+R13*G18</f>
        <v>153.27206593406595</v>
      </c>
      <c r="L18" s="115">
        <f t="shared" si="2"/>
        <v>164.81255108127033</v>
      </c>
      <c r="M18" s="114">
        <f t="shared" si="3"/>
        <v>27592.532100000004</v>
      </c>
      <c r="N18" s="116">
        <f t="shared" si="4"/>
        <v>27592.532100000004</v>
      </c>
      <c r="O18" s="95"/>
      <c r="P18" s="95"/>
      <c r="Q18" s="52"/>
      <c r="R18" s="30"/>
      <c r="S18" s="30"/>
      <c r="V18" s="47"/>
    </row>
    <row r="19" spans="2:22" ht="19" x14ac:dyDescent="0.2">
      <c r="B19" s="130">
        <v>140</v>
      </c>
      <c r="C19" s="130">
        <v>185.88</v>
      </c>
      <c r="D19" s="36"/>
      <c r="E19" s="31"/>
      <c r="F19" s="131" t="s">
        <v>9</v>
      </c>
      <c r="G19" s="130">
        <v>140</v>
      </c>
      <c r="H19" s="130">
        <v>185.88</v>
      </c>
      <c r="I19" s="94">
        <f t="shared" si="0"/>
        <v>19600</v>
      </c>
      <c r="J19" s="93">
        <f t="shared" si="1"/>
        <v>26023.200000000001</v>
      </c>
      <c r="K19" s="118">
        <f>R12+R13*G19</f>
        <v>167.37257142857146</v>
      </c>
      <c r="L19" s="115">
        <f t="shared" si="2"/>
        <v>342.5249123265292</v>
      </c>
      <c r="M19" s="114">
        <f t="shared" si="3"/>
        <v>34551.374400000001</v>
      </c>
      <c r="N19" s="116">
        <f t="shared" si="4"/>
        <v>34551.374400000001</v>
      </c>
      <c r="O19" s="95"/>
      <c r="P19" s="95"/>
      <c r="Q19" s="52"/>
      <c r="R19" s="30"/>
      <c r="S19" s="30"/>
      <c r="V19" s="47"/>
    </row>
    <row r="20" spans="2:22" ht="19" x14ac:dyDescent="0.2">
      <c r="D20" s="36"/>
      <c r="E20" s="31"/>
      <c r="F20" s="99" t="s">
        <v>5</v>
      </c>
      <c r="G20" s="99">
        <f t="shared" ref="G20:N20" si="5">SUM(G6:G19)</f>
        <v>1050</v>
      </c>
      <c r="H20" s="99">
        <f t="shared" si="5"/>
        <v>1060.0700000000002</v>
      </c>
      <c r="I20" s="99">
        <f t="shared" si="5"/>
        <v>101500</v>
      </c>
      <c r="J20" s="100">
        <f t="shared" si="5"/>
        <v>111583.90000000001</v>
      </c>
      <c r="K20" s="92">
        <f t="shared" si="5"/>
        <v>1060.0700000000004</v>
      </c>
      <c r="L20" s="101">
        <f t="shared" si="5"/>
        <v>1698.0918347252746</v>
      </c>
      <c r="M20" s="101">
        <f t="shared" si="5"/>
        <v>137272.51313120313</v>
      </c>
      <c r="N20" s="101">
        <f t="shared" si="5"/>
        <v>127198.35310000001</v>
      </c>
      <c r="O20" s="102"/>
      <c r="P20" s="102"/>
      <c r="Q20" s="103"/>
      <c r="R20" s="41"/>
      <c r="S20" s="30"/>
      <c r="V20" s="47"/>
    </row>
    <row r="21" spans="2:22" x14ac:dyDescent="0.2">
      <c r="B21" s="37"/>
      <c r="C21" s="37"/>
      <c r="D21" s="30"/>
      <c r="E21" s="30"/>
      <c r="F21" s="104"/>
      <c r="G21" s="104"/>
      <c r="H21" s="104"/>
      <c r="I21" s="104"/>
      <c r="J21" s="105"/>
      <c r="K21" s="105"/>
      <c r="L21" s="104"/>
      <c r="M21" s="104"/>
      <c r="N21" s="104"/>
      <c r="O21" s="106"/>
      <c r="P21" s="106"/>
      <c r="Q21" s="106"/>
      <c r="R21" s="30"/>
      <c r="S21" s="36"/>
      <c r="V21" s="47"/>
    </row>
    <row r="22" spans="2:22" x14ac:dyDescent="0.2"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6"/>
      <c r="V22" s="47"/>
    </row>
    <row r="23" spans="2:22" x14ac:dyDescent="0.2"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6"/>
      <c r="V23" s="47"/>
    </row>
    <row r="24" spans="2:22" x14ac:dyDescent="0.2"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160" t="s">
        <v>46</v>
      </c>
      <c r="M24" s="107">
        <f xml:space="preserve"> CORREL(B6:B19,C6:C19)</f>
        <v>0.98174180230740615</v>
      </c>
      <c r="N24" s="30"/>
      <c r="O24" s="30"/>
      <c r="P24" s="30"/>
      <c r="Q24" s="30"/>
      <c r="R24" s="30"/>
      <c r="S24" s="36"/>
      <c r="V24" s="47"/>
    </row>
    <row r="25" spans="2:22" x14ac:dyDescent="0.2"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161"/>
      <c r="M25" s="30"/>
      <c r="N25" s="30"/>
      <c r="O25" s="30"/>
      <c r="P25" s="30"/>
      <c r="Q25" s="30"/>
      <c r="R25" s="30"/>
      <c r="S25" s="36"/>
      <c r="T25" s="45"/>
      <c r="U25" s="45"/>
      <c r="V25" s="48"/>
    </row>
    <row r="26" spans="2:22" x14ac:dyDescent="0.2">
      <c r="B26" s="30"/>
      <c r="C26" s="30"/>
      <c r="D26" s="30"/>
      <c r="E26" s="30"/>
      <c r="F26" s="30"/>
      <c r="G26" s="30" t="s">
        <v>50</v>
      </c>
      <c r="H26" s="30"/>
      <c r="I26" s="30"/>
      <c r="J26" s="30"/>
      <c r="K26" s="30"/>
      <c r="L26" s="30"/>
      <c r="M26" s="30"/>
      <c r="N26" s="30"/>
      <c r="O26" s="30"/>
      <c r="P26" s="30"/>
      <c r="Q26" s="98">
        <f>SQRT(1- (L20/M20))</f>
        <v>0.99379564060438252</v>
      </c>
      <c r="R26" s="30"/>
      <c r="S26" s="36"/>
    </row>
    <row r="27" spans="2:22" ht="15" customHeight="1" x14ac:dyDescent="0.2">
      <c r="B27" s="108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6"/>
    </row>
    <row r="28" spans="2:22" x14ac:dyDescent="0.2"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47"/>
    </row>
    <row r="29" spans="2:22" x14ac:dyDescent="0.2"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47"/>
    </row>
    <row r="30" spans="2:22" x14ac:dyDescent="0.2"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</row>
    <row r="31" spans="2:22" x14ac:dyDescent="0.2">
      <c r="B31" s="30"/>
      <c r="C31" s="29" t="s">
        <v>54</v>
      </c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30"/>
      <c r="P31" s="30"/>
      <c r="Q31" s="30"/>
      <c r="R31" s="30"/>
    </row>
    <row r="32" spans="2:22" x14ac:dyDescent="0.2">
      <c r="B32" s="30"/>
      <c r="C32" s="19" t="s">
        <v>55</v>
      </c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30"/>
      <c r="P32" s="30"/>
      <c r="Q32" s="145" t="s">
        <v>124</v>
      </c>
      <c r="R32" s="30"/>
    </row>
    <row r="33" spans="2:18" ht="19" x14ac:dyDescent="0.25">
      <c r="B33" s="30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30"/>
      <c r="P33" s="30"/>
      <c r="Q33" s="109"/>
      <c r="R33" s="30"/>
    </row>
    <row r="34" spans="2:18" x14ac:dyDescent="0.2">
      <c r="B34" s="30"/>
      <c r="C34" s="29" t="s">
        <v>56</v>
      </c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30"/>
      <c r="P34" s="30"/>
      <c r="Q34" s="30"/>
      <c r="R34" s="30"/>
    </row>
    <row r="35" spans="2:18" ht="19" customHeight="1" x14ac:dyDescent="0.2">
      <c r="B35" s="30"/>
      <c r="C35" s="156" t="s">
        <v>76</v>
      </c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30"/>
      <c r="P35" s="30"/>
      <c r="Q35" s="30"/>
      <c r="R35" s="30"/>
    </row>
    <row r="36" spans="2:18" ht="45" customHeight="1" x14ac:dyDescent="0.2">
      <c r="B36" s="30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30"/>
      <c r="P36" s="30"/>
      <c r="Q36" s="30"/>
      <c r="R36" s="30"/>
    </row>
    <row r="37" spans="2:18" x14ac:dyDescent="0.2">
      <c r="B37" s="30"/>
      <c r="C37" s="29" t="s">
        <v>57</v>
      </c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30"/>
      <c r="P37" s="30"/>
      <c r="Q37" s="30"/>
      <c r="R37" s="30"/>
    </row>
    <row r="38" spans="2:18" x14ac:dyDescent="0.2">
      <c r="B38" s="30"/>
      <c r="C38" s="19" t="s">
        <v>58</v>
      </c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30"/>
      <c r="P38" s="30"/>
      <c r="Q38" s="30"/>
      <c r="R38" s="30"/>
    </row>
    <row r="39" spans="2:18" x14ac:dyDescent="0.2">
      <c r="B39" s="30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30"/>
      <c r="P39" s="30"/>
      <c r="Q39" s="30"/>
      <c r="R39" s="30"/>
    </row>
    <row r="40" spans="2:18" x14ac:dyDescent="0.2">
      <c r="B40" s="30"/>
      <c r="C40" s="19" t="s">
        <v>54</v>
      </c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30"/>
      <c r="P40" s="30"/>
      <c r="Q40" s="30"/>
      <c r="R40" s="30"/>
    </row>
    <row r="41" spans="2:18" x14ac:dyDescent="0.2">
      <c r="B41" s="30"/>
      <c r="C41" s="19" t="s">
        <v>59</v>
      </c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30"/>
      <c r="P41" s="30"/>
      <c r="Q41" s="30"/>
      <c r="R41" s="30"/>
    </row>
    <row r="42" spans="2:18" x14ac:dyDescent="0.2"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</row>
    <row r="43" spans="2:18" x14ac:dyDescent="0.2"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</row>
    <row r="44" spans="2:18" x14ac:dyDescent="0.2"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</row>
    <row r="45" spans="2:18" x14ac:dyDescent="0.2"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</row>
    <row r="46" spans="2:18" x14ac:dyDescent="0.2"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</row>
    <row r="47" spans="2:18" x14ac:dyDescent="0.2"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</row>
    <row r="48" spans="2:18" x14ac:dyDescent="0.2"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</row>
    <row r="49" spans="2:16" x14ac:dyDescent="0.2"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</row>
  </sheetData>
  <mergeCells count="10">
    <mergeCell ref="C35:N36"/>
    <mergeCell ref="O5:O6"/>
    <mergeCell ref="P5:P6"/>
    <mergeCell ref="Q5:Q6"/>
    <mergeCell ref="P1:P2"/>
    <mergeCell ref="Q1:Q2"/>
    <mergeCell ref="P3:P4"/>
    <mergeCell ref="Q3:Q4"/>
    <mergeCell ref="L24:L25"/>
    <mergeCell ref="Q7:Q8"/>
  </mergeCells>
  <hyperlinks>
    <hyperlink ref="Q32" location="'Aplicatia propusa '!A1" display="Revenire la pagina" xr:uid="{00B7346F-1ED4-7A41-B761-5FD6D64811E2}"/>
  </hyperlinks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quation.3" shapeId="3074" r:id="rId3">
          <objectPr defaultSize="0" autoPict="0" altText="" r:id="rId4">
            <anchor moveWithCells="1" sizeWithCells="1">
              <from>
                <xdr:col>12</xdr:col>
                <xdr:colOff>533400</xdr:colOff>
                <xdr:row>4</xdr:row>
                <xdr:rowOff>101600</xdr:rowOff>
              </from>
              <to>
                <xdr:col>12</xdr:col>
                <xdr:colOff>774700</xdr:colOff>
                <xdr:row>4</xdr:row>
                <xdr:rowOff>368300</xdr:rowOff>
              </to>
            </anchor>
          </objectPr>
        </oleObject>
      </mc:Choice>
      <mc:Fallback>
        <oleObject progId="Equation.3" shapeId="3074" r:id="rId3"/>
      </mc:Fallback>
    </mc:AlternateContent>
    <mc:AlternateContent xmlns:mc="http://schemas.openxmlformats.org/markup-compatibility/2006">
      <mc:Choice Requires="x14">
        <oleObject progId="Equation.3" shapeId="3073" r:id="rId5">
          <objectPr defaultSize="0" autoPict="0" altText="" r:id="rId6">
            <anchor moveWithCells="1" sizeWithCells="1">
              <from>
                <xdr:col>13</xdr:col>
                <xdr:colOff>177800</xdr:colOff>
                <xdr:row>4</xdr:row>
                <xdr:rowOff>177800</xdr:rowOff>
              </from>
              <to>
                <xdr:col>13</xdr:col>
                <xdr:colOff>368300</xdr:colOff>
                <xdr:row>4</xdr:row>
                <xdr:rowOff>393700</xdr:rowOff>
              </to>
            </anchor>
          </objectPr>
        </oleObject>
      </mc:Choice>
      <mc:Fallback>
        <oleObject progId="Equation.3" shapeId="3073" r:id="rId5"/>
      </mc:Fallback>
    </mc:AlternateContent>
    <mc:AlternateContent xmlns:mc="http://schemas.openxmlformats.org/markup-compatibility/2006">
      <mc:Choice Requires="x14">
        <oleObject progId="Equation.3" shapeId="3077" r:id="rId7">
          <objectPr defaultSize="0" autoPict="0" altText="" r:id="rId8">
            <anchor moveWithCells="1" sizeWithCells="1">
              <from>
                <xdr:col>15</xdr:col>
                <xdr:colOff>546100</xdr:colOff>
                <xdr:row>19</xdr:row>
                <xdr:rowOff>0</xdr:rowOff>
              </from>
              <to>
                <xdr:col>16</xdr:col>
                <xdr:colOff>2603500</xdr:colOff>
                <xdr:row>22</xdr:row>
                <xdr:rowOff>165100</xdr:rowOff>
              </to>
            </anchor>
          </objectPr>
        </oleObject>
      </mc:Choice>
      <mc:Fallback>
        <oleObject progId="Equation.3" shapeId="3077" r:id="rId7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AC274-DC8D-467F-B924-FC40D5648EC3}">
  <sheetPr>
    <tabColor theme="9" tint="-0.249977111117893"/>
  </sheetPr>
  <dimension ref="A2:N29"/>
  <sheetViews>
    <sheetView zoomScale="82" workbookViewId="0"/>
  </sheetViews>
  <sheetFormatPr baseColWidth="10" defaultColWidth="8.83203125" defaultRowHeight="20" x14ac:dyDescent="0.2"/>
  <cols>
    <col min="1" max="1" width="20" style="57" customWidth="1"/>
    <col min="2" max="2" width="22.6640625" style="57" customWidth="1"/>
    <col min="3" max="3" width="8.83203125" style="57"/>
    <col min="4" max="4" width="31.33203125" style="57" customWidth="1"/>
    <col min="5" max="8" width="12.33203125" style="57" customWidth="1"/>
    <col min="9" max="9" width="16.5" style="57" customWidth="1"/>
    <col min="10" max="10" width="8.83203125" style="57"/>
    <col min="11" max="11" width="10.6640625" style="57" customWidth="1"/>
    <col min="12" max="13" width="8.83203125" style="57"/>
    <col min="14" max="14" width="19.83203125" style="57" bestFit="1" customWidth="1"/>
    <col min="15" max="16384" width="8.83203125" style="57"/>
  </cols>
  <sheetData>
    <row r="2" spans="1:14" ht="32" customHeight="1" x14ac:dyDescent="0.2">
      <c r="A2" s="12" t="s">
        <v>109</v>
      </c>
      <c r="B2" s="56"/>
      <c r="C2" s="56"/>
      <c r="D2" s="56"/>
      <c r="E2" s="56"/>
      <c r="F2" s="56"/>
      <c r="G2" s="56"/>
      <c r="H2" s="56"/>
      <c r="I2" s="56"/>
    </row>
    <row r="3" spans="1:14" ht="21" thickBot="1" x14ac:dyDescent="0.25">
      <c r="F3" s="28"/>
      <c r="G3" s="28"/>
      <c r="H3" s="28"/>
      <c r="I3" s="28"/>
      <c r="J3" s="28"/>
    </row>
    <row r="4" spans="1:14" ht="49" customHeight="1" x14ac:dyDescent="0.2">
      <c r="A4" s="63" t="s">
        <v>41</v>
      </c>
      <c r="B4" s="64" t="s">
        <v>40</v>
      </c>
      <c r="C4" s="28"/>
      <c r="D4" s="65" t="s">
        <v>11</v>
      </c>
      <c r="E4" s="65"/>
      <c r="F4" s="28"/>
      <c r="G4" s="28"/>
      <c r="H4" s="28"/>
      <c r="I4" s="28"/>
      <c r="J4" s="28"/>
    </row>
    <row r="5" spans="1:14" ht="21" thickBot="1" x14ac:dyDescent="0.25">
      <c r="A5" s="58">
        <v>10</v>
      </c>
      <c r="B5" s="59">
        <v>4.2699999999999996</v>
      </c>
      <c r="C5" s="28"/>
      <c r="F5" s="28"/>
      <c r="G5" s="83" t="s">
        <v>108</v>
      </c>
      <c r="H5" s="83"/>
      <c r="I5" s="83"/>
      <c r="J5" s="28"/>
    </row>
    <row r="6" spans="1:14" ht="21" thickBot="1" x14ac:dyDescent="0.25">
      <c r="A6" s="58">
        <v>20</v>
      </c>
      <c r="B6" s="59">
        <v>8.5500000000000007</v>
      </c>
      <c r="C6" s="28"/>
      <c r="D6" s="60" t="s">
        <v>12</v>
      </c>
      <c r="E6" s="60"/>
      <c r="F6" s="28"/>
      <c r="G6" s="83"/>
      <c r="H6" s="83"/>
      <c r="I6" s="83"/>
      <c r="J6" s="28"/>
    </row>
    <row r="7" spans="1:14" ht="21" thickBot="1" x14ac:dyDescent="0.25">
      <c r="A7" s="58">
        <v>30</v>
      </c>
      <c r="B7" s="59">
        <v>15.32</v>
      </c>
      <c r="C7" s="28"/>
      <c r="D7" s="57" t="s">
        <v>13</v>
      </c>
      <c r="E7" s="57">
        <v>0.98174180230740604</v>
      </c>
      <c r="F7" s="28"/>
      <c r="G7" s="83"/>
      <c r="H7" s="83"/>
      <c r="I7" s="83"/>
      <c r="J7" s="28"/>
    </row>
    <row r="8" spans="1:14" ht="21" thickBot="1" x14ac:dyDescent="0.25">
      <c r="A8" s="58">
        <v>40</v>
      </c>
      <c r="B8" s="59">
        <v>23.11</v>
      </c>
      <c r="C8" s="28"/>
      <c r="D8" s="57" t="s">
        <v>14</v>
      </c>
      <c r="E8" s="57">
        <v>0.96381696639779391</v>
      </c>
      <c r="F8" s="28"/>
      <c r="G8" s="83" t="s">
        <v>111</v>
      </c>
      <c r="H8" s="83"/>
      <c r="I8" s="83"/>
      <c r="J8" s="28"/>
      <c r="N8" s="27">
        <f>H15</f>
        <v>319.64715075930945</v>
      </c>
    </row>
    <row r="9" spans="1:14" ht="21" thickBot="1" x14ac:dyDescent="0.25">
      <c r="A9" s="58">
        <v>50</v>
      </c>
      <c r="B9" s="59">
        <v>32.880000000000003</v>
      </c>
      <c r="C9" s="28"/>
      <c r="D9" s="57" t="s">
        <v>15</v>
      </c>
      <c r="E9" s="57">
        <v>0.96080171359761002</v>
      </c>
      <c r="F9" s="28"/>
      <c r="G9" s="83"/>
      <c r="H9" s="83"/>
      <c r="I9" s="83"/>
      <c r="J9" s="28"/>
    </row>
    <row r="10" spans="1:14" ht="21" thickBot="1" x14ac:dyDescent="0.25">
      <c r="A10" s="58">
        <v>60</v>
      </c>
      <c r="B10" s="59">
        <v>43.65</v>
      </c>
      <c r="C10" s="28"/>
      <c r="D10" s="57" t="s">
        <v>10</v>
      </c>
      <c r="E10" s="57">
        <v>11.89569892413947</v>
      </c>
      <c r="F10" s="28"/>
      <c r="G10" s="83"/>
      <c r="H10" s="83"/>
      <c r="I10" s="83"/>
      <c r="J10" s="28"/>
    </row>
    <row r="11" spans="1:14" ht="21" thickBot="1" x14ac:dyDescent="0.25">
      <c r="A11" s="58">
        <v>70</v>
      </c>
      <c r="B11" s="59">
        <v>56.4</v>
      </c>
      <c r="C11" s="28"/>
      <c r="D11" s="61" t="s">
        <v>16</v>
      </c>
      <c r="E11" s="61">
        <v>14</v>
      </c>
      <c r="F11" s="28"/>
      <c r="G11" s="83"/>
      <c r="H11" s="83"/>
      <c r="I11" s="83"/>
      <c r="J11" s="28"/>
      <c r="K11" s="72" t="s">
        <v>43</v>
      </c>
      <c r="M11" s="72" t="s">
        <v>155</v>
      </c>
      <c r="N11" s="27">
        <f>_xlfn.F.INV(0.05,1,12)</f>
        <v>4.099939493891599E-3</v>
      </c>
    </row>
    <row r="12" spans="1:14" ht="21" thickBot="1" x14ac:dyDescent="0.25">
      <c r="A12" s="58">
        <v>80</v>
      </c>
      <c r="B12" s="59">
        <v>70.22</v>
      </c>
      <c r="C12" s="28"/>
      <c r="F12" s="28"/>
      <c r="G12" s="28"/>
      <c r="H12" s="28"/>
      <c r="I12" s="28"/>
      <c r="J12" s="28"/>
    </row>
    <row r="13" spans="1:14" ht="21" thickBot="1" x14ac:dyDescent="0.25">
      <c r="A13" s="58">
        <v>90</v>
      </c>
      <c r="B13" s="59">
        <v>86</v>
      </c>
      <c r="C13" s="28"/>
      <c r="D13" s="57" t="s">
        <v>17</v>
      </c>
      <c r="F13" s="28"/>
      <c r="G13" s="28"/>
      <c r="H13" s="28"/>
      <c r="I13" s="28"/>
      <c r="J13" s="28"/>
      <c r="K13" s="28"/>
      <c r="L13" s="28"/>
      <c r="M13" s="28"/>
      <c r="N13" s="28"/>
    </row>
    <row r="14" spans="1:14" ht="21" thickBot="1" x14ac:dyDescent="0.25">
      <c r="A14" s="58">
        <v>100</v>
      </c>
      <c r="B14" s="59">
        <v>105.8</v>
      </c>
      <c r="C14" s="28"/>
      <c r="D14" s="62"/>
      <c r="E14" s="62" t="s">
        <v>21</v>
      </c>
      <c r="F14" s="62" t="s">
        <v>22</v>
      </c>
      <c r="G14" s="62" t="s">
        <v>23</v>
      </c>
      <c r="H14" s="62" t="s">
        <v>24</v>
      </c>
      <c r="I14" s="62" t="s">
        <v>25</v>
      </c>
      <c r="J14" s="28"/>
      <c r="K14" s="28"/>
      <c r="L14" s="28"/>
      <c r="M14" s="28"/>
      <c r="N14" s="28"/>
    </row>
    <row r="15" spans="1:14" ht="21" thickBot="1" x14ac:dyDescent="0.25">
      <c r="A15" s="58">
        <v>110</v>
      </c>
      <c r="B15" s="59">
        <v>120.55</v>
      </c>
      <c r="C15" s="28"/>
      <c r="D15" s="57" t="s">
        <v>18</v>
      </c>
      <c r="E15" s="57">
        <v>1</v>
      </c>
      <c r="F15" s="57">
        <v>45232.518058131871</v>
      </c>
      <c r="G15" s="57">
        <v>45232.518058131871</v>
      </c>
      <c r="H15" s="57">
        <v>319.64715075930945</v>
      </c>
      <c r="I15" s="57">
        <v>5.1426455288018896E-10</v>
      </c>
      <c r="J15" s="28"/>
      <c r="K15" s="28"/>
      <c r="L15" s="28"/>
      <c r="M15" s="28"/>
      <c r="N15" s="28"/>
    </row>
    <row r="16" spans="1:14" ht="21" thickBot="1" x14ac:dyDescent="0.25">
      <c r="A16" s="58">
        <v>120</v>
      </c>
      <c r="B16" s="59">
        <v>141.33000000000001</v>
      </c>
      <c r="C16" s="28"/>
      <c r="D16" s="57" t="s">
        <v>19</v>
      </c>
      <c r="E16" s="57">
        <v>12</v>
      </c>
      <c r="F16" s="57">
        <v>1698.0918347252752</v>
      </c>
      <c r="G16" s="57">
        <v>141.50765289377293</v>
      </c>
      <c r="J16" s="28"/>
      <c r="K16" s="28"/>
      <c r="L16" s="28"/>
      <c r="M16" s="28"/>
      <c r="N16" s="28"/>
    </row>
    <row r="17" spans="1:14" ht="21" thickBot="1" x14ac:dyDescent="0.25">
      <c r="A17" s="58">
        <v>130</v>
      </c>
      <c r="B17" s="59">
        <v>166.11</v>
      </c>
      <c r="C17" s="28"/>
      <c r="D17" s="61" t="s">
        <v>5</v>
      </c>
      <c r="E17" s="61">
        <v>13</v>
      </c>
      <c r="F17" s="61">
        <v>46930.609892857145</v>
      </c>
      <c r="G17" s="61"/>
      <c r="H17" s="61"/>
      <c r="I17" s="61"/>
      <c r="J17" s="28"/>
      <c r="K17" s="28"/>
      <c r="L17" s="28"/>
      <c r="M17" s="28"/>
      <c r="N17" s="28"/>
    </row>
    <row r="18" spans="1:14" ht="21" thickBot="1" x14ac:dyDescent="0.25">
      <c r="A18" s="58">
        <v>140</v>
      </c>
      <c r="B18" s="59">
        <v>185.88</v>
      </c>
      <c r="C18" s="28"/>
      <c r="J18" s="28"/>
      <c r="K18" s="28"/>
      <c r="L18" s="28"/>
      <c r="M18" s="28"/>
      <c r="N18" s="28"/>
    </row>
    <row r="19" spans="1:14" x14ac:dyDescent="0.2">
      <c r="C19" s="28"/>
      <c r="D19" s="62"/>
      <c r="E19" s="62" t="s">
        <v>26</v>
      </c>
      <c r="F19" s="62" t="s">
        <v>10</v>
      </c>
      <c r="G19" s="62" t="s">
        <v>27</v>
      </c>
      <c r="H19" s="62" t="s">
        <v>28</v>
      </c>
      <c r="I19" s="62" t="s">
        <v>29</v>
      </c>
      <c r="J19" s="62" t="s">
        <v>30</v>
      </c>
      <c r="K19" s="62" t="s">
        <v>31</v>
      </c>
      <c r="L19" s="62" t="s">
        <v>32</v>
      </c>
      <c r="M19" s="28"/>
      <c r="N19" s="28"/>
    </row>
    <row r="20" spans="1:14" x14ac:dyDescent="0.2">
      <c r="A20" s="28"/>
      <c r="B20" s="28"/>
      <c r="C20" s="28"/>
      <c r="D20" s="57" t="s">
        <v>20</v>
      </c>
      <c r="E20" s="57">
        <v>-30.034505494505481</v>
      </c>
      <c r="F20" s="57">
        <v>6.7153440289895707</v>
      </c>
      <c r="G20" s="57">
        <v>-4.4725192581123272</v>
      </c>
      <c r="H20" s="57">
        <v>7.6230141667339387E-4</v>
      </c>
      <c r="I20" s="57">
        <v>-44.665983220497175</v>
      </c>
      <c r="J20" s="57">
        <v>-15.403027768513788</v>
      </c>
      <c r="K20" s="57">
        <v>-44.665983220497175</v>
      </c>
      <c r="L20" s="57">
        <v>-15.403027768513788</v>
      </c>
      <c r="M20" s="28"/>
      <c r="N20" s="28"/>
    </row>
    <row r="21" spans="1:14" ht="21" thickBot="1" x14ac:dyDescent="0.25">
      <c r="A21" s="28"/>
      <c r="B21" s="28"/>
      <c r="C21" s="28"/>
      <c r="D21" s="61" t="s">
        <v>41</v>
      </c>
      <c r="E21" s="61">
        <v>1.4100505494505495</v>
      </c>
      <c r="F21" s="61">
        <v>7.8867715896400181E-2</v>
      </c>
      <c r="G21" s="61">
        <v>17.878678663685118</v>
      </c>
      <c r="H21" s="61">
        <v>5.1426455288018896E-10</v>
      </c>
      <c r="I21" s="61">
        <v>1.2382125582089227</v>
      </c>
      <c r="J21" s="61">
        <v>1.5818885406921763</v>
      </c>
      <c r="K21" s="61">
        <v>1.2382125582089227</v>
      </c>
      <c r="L21" s="61">
        <v>1.5818885406921763</v>
      </c>
      <c r="M21" s="28"/>
      <c r="N21" s="28"/>
    </row>
    <row r="22" spans="1:14" x14ac:dyDescent="0.2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</row>
    <row r="23" spans="1:14" x14ac:dyDescent="0.2">
      <c r="A23" s="28"/>
      <c r="B23" s="28"/>
      <c r="C23" s="28"/>
      <c r="D23" s="28"/>
      <c r="E23" s="28"/>
      <c r="G23" s="28"/>
      <c r="I23" s="28"/>
      <c r="K23" s="28"/>
      <c r="M23" s="28"/>
      <c r="N23" s="28"/>
    </row>
    <row r="24" spans="1:14" ht="24" x14ac:dyDescent="0.25">
      <c r="A24" s="28"/>
      <c r="B24" s="28"/>
      <c r="C24" s="28"/>
      <c r="D24" s="82" t="s">
        <v>124</v>
      </c>
      <c r="E24" s="28"/>
      <c r="F24" s="28"/>
      <c r="G24" s="28"/>
      <c r="H24" s="28"/>
      <c r="I24" s="28"/>
      <c r="J24" s="28"/>
      <c r="K24" s="28"/>
      <c r="L24" s="28"/>
      <c r="M24" s="28"/>
      <c r="N24" s="28"/>
    </row>
    <row r="25" spans="1:14" ht="24" x14ac:dyDescent="0.3">
      <c r="A25" s="28"/>
      <c r="B25" s="28"/>
      <c r="C25" s="28"/>
      <c r="D25" s="81"/>
      <c r="E25" s="28"/>
      <c r="G25" s="28"/>
      <c r="I25" s="28"/>
      <c r="K25" s="28"/>
      <c r="M25" s="28"/>
    </row>
    <row r="26" spans="1:14" x14ac:dyDescent="0.2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</row>
    <row r="27" spans="1:14" x14ac:dyDescent="0.2">
      <c r="A27" s="28"/>
      <c r="C27" s="28"/>
      <c r="E27" s="28"/>
      <c r="G27" s="28"/>
      <c r="I27" s="28"/>
      <c r="K27" s="28"/>
      <c r="M27" s="28"/>
    </row>
    <row r="28" spans="1:14" x14ac:dyDescent="0.2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</row>
    <row r="29" spans="1:14" x14ac:dyDescent="0.2">
      <c r="C29" s="28"/>
      <c r="E29" s="28"/>
      <c r="G29" s="28"/>
      <c r="I29" s="28"/>
      <c r="K29" s="28"/>
      <c r="M29" s="28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7133E-BCC1-4163-B304-93CE862E8555}">
  <sheetPr>
    <tabColor theme="8" tint="0.39997558519241921"/>
  </sheetPr>
  <dimension ref="A2:M38"/>
  <sheetViews>
    <sheetView topLeftCell="A9" workbookViewId="0">
      <selection activeCell="I24" sqref="I24"/>
    </sheetView>
  </sheetViews>
  <sheetFormatPr baseColWidth="10" defaultColWidth="8.83203125" defaultRowHeight="18" x14ac:dyDescent="0.2"/>
  <cols>
    <col min="1" max="1" width="8.83203125" style="4"/>
    <col min="2" max="2" width="14.5" style="4" customWidth="1"/>
    <col min="3" max="3" width="13.5" style="4" customWidth="1"/>
    <col min="4" max="4" width="8.83203125" style="4"/>
    <col min="5" max="5" width="22.83203125" style="4" customWidth="1"/>
    <col min="6" max="6" width="16.6640625" style="4" customWidth="1"/>
    <col min="7" max="7" width="16.5" style="4" customWidth="1"/>
    <col min="8" max="8" width="16.33203125" style="4" customWidth="1"/>
    <col min="9" max="9" width="14.6640625" style="4" customWidth="1"/>
    <col min="10" max="10" width="20.33203125" style="4" customWidth="1"/>
    <col min="11" max="11" width="16" style="4" customWidth="1"/>
    <col min="12" max="12" width="20" style="4" customWidth="1"/>
    <col min="13" max="13" width="11.83203125" style="4" customWidth="1"/>
    <col min="14" max="14" width="16.5" style="4" customWidth="1"/>
    <col min="15" max="15" width="17" style="4" customWidth="1"/>
    <col min="16" max="16384" width="8.83203125" style="4"/>
  </cols>
  <sheetData>
    <row r="2" spans="1:13" ht="39.5" customHeight="1" x14ac:dyDescent="0.2">
      <c r="A2" s="30"/>
      <c r="B2" s="120" t="s">
        <v>112</v>
      </c>
      <c r="C2" s="3"/>
      <c r="D2" s="3"/>
      <c r="E2" s="3"/>
      <c r="F2" s="3"/>
      <c r="G2" s="3"/>
      <c r="H2" s="3"/>
    </row>
    <row r="3" spans="1:13" x14ac:dyDescent="0.2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</row>
    <row r="4" spans="1:13" ht="19" thickBot="1" x14ac:dyDescent="0.25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</row>
    <row r="5" spans="1:13" ht="49" customHeight="1" x14ac:dyDescent="0.2">
      <c r="A5" s="30"/>
      <c r="B5" s="16" t="s">
        <v>41</v>
      </c>
      <c r="C5" s="17" t="s">
        <v>40</v>
      </c>
      <c r="D5" s="30"/>
      <c r="E5" s="4" t="s">
        <v>11</v>
      </c>
      <c r="G5" s="30"/>
      <c r="H5" s="30"/>
      <c r="I5" s="30"/>
      <c r="J5" s="30"/>
      <c r="K5" s="30"/>
      <c r="L5" s="30"/>
      <c r="M5" s="30"/>
    </row>
    <row r="6" spans="1:13" ht="18" customHeight="1" thickBot="1" x14ac:dyDescent="0.25">
      <c r="A6" s="30"/>
      <c r="B6" s="6">
        <v>10</v>
      </c>
      <c r="C6" s="7">
        <v>4.2699999999999996</v>
      </c>
      <c r="D6" s="30"/>
      <c r="G6" s="30"/>
      <c r="H6" s="30"/>
      <c r="I6" s="30"/>
      <c r="J6" s="30"/>
      <c r="K6" s="30"/>
      <c r="L6" s="30"/>
      <c r="M6" s="30"/>
    </row>
    <row r="7" spans="1:13" ht="19" customHeight="1" thickBot="1" x14ac:dyDescent="0.25">
      <c r="A7" s="30"/>
      <c r="B7" s="6">
        <v>20</v>
      </c>
      <c r="C7" s="7">
        <v>8.5500000000000007</v>
      </c>
      <c r="D7" s="30"/>
      <c r="E7" s="25" t="s">
        <v>12</v>
      </c>
      <c r="F7" s="25"/>
      <c r="G7" s="30"/>
      <c r="H7" s="30"/>
      <c r="I7" s="30"/>
      <c r="J7" s="30"/>
      <c r="K7" s="30"/>
      <c r="L7" s="30"/>
      <c r="M7" s="30"/>
    </row>
    <row r="8" spans="1:13" ht="19" thickBot="1" x14ac:dyDescent="0.25">
      <c r="A8" s="30"/>
      <c r="B8" s="6">
        <v>30</v>
      </c>
      <c r="C8" s="7">
        <v>15.32</v>
      </c>
      <c r="D8" s="30"/>
      <c r="E8" s="4" t="s">
        <v>13</v>
      </c>
      <c r="F8" s="4">
        <v>0.98174180230740604</v>
      </c>
      <c r="G8" s="30"/>
      <c r="H8" s="30"/>
      <c r="I8" s="30"/>
      <c r="J8" s="30"/>
      <c r="K8" s="30"/>
      <c r="L8" s="30"/>
      <c r="M8" s="30"/>
    </row>
    <row r="9" spans="1:13" ht="19" thickBot="1" x14ac:dyDescent="0.25">
      <c r="A9" s="30"/>
      <c r="B9" s="6">
        <v>40</v>
      </c>
      <c r="C9" s="7">
        <v>23.11</v>
      </c>
      <c r="D9" s="30"/>
      <c r="E9" s="4" t="s">
        <v>14</v>
      </c>
      <c r="F9" s="4">
        <v>0.96381696639779391</v>
      </c>
      <c r="G9" s="30"/>
      <c r="H9" s="30"/>
      <c r="I9" s="30"/>
      <c r="J9" s="30"/>
      <c r="K9" s="30"/>
      <c r="L9" s="30"/>
      <c r="M9" s="30"/>
    </row>
    <row r="10" spans="1:13" ht="19" thickBot="1" x14ac:dyDescent="0.25">
      <c r="A10" s="30"/>
      <c r="B10" s="6">
        <v>50</v>
      </c>
      <c r="C10" s="7">
        <v>32.880000000000003</v>
      </c>
      <c r="D10" s="30"/>
      <c r="E10" s="4" t="s">
        <v>15</v>
      </c>
      <c r="F10" s="4">
        <v>0.96080171359761002</v>
      </c>
      <c r="G10" s="30"/>
      <c r="H10" s="30"/>
      <c r="I10" s="30"/>
      <c r="J10" s="30"/>
      <c r="K10" s="30"/>
      <c r="L10" s="30"/>
      <c r="M10" s="30"/>
    </row>
    <row r="11" spans="1:13" ht="19" thickBot="1" x14ac:dyDescent="0.25">
      <c r="A11" s="30"/>
      <c r="B11" s="6">
        <v>60</v>
      </c>
      <c r="C11" s="7">
        <v>43.65</v>
      </c>
      <c r="D11" s="30"/>
      <c r="E11" s="4" t="s">
        <v>10</v>
      </c>
      <c r="F11" s="4">
        <v>11.89569892413947</v>
      </c>
      <c r="G11" s="30"/>
      <c r="H11" s="30"/>
      <c r="I11" s="30"/>
      <c r="J11" s="30"/>
      <c r="K11" s="30"/>
      <c r="L11" s="30"/>
      <c r="M11" s="30"/>
    </row>
    <row r="12" spans="1:13" ht="19" thickBot="1" x14ac:dyDescent="0.25">
      <c r="A12" s="30"/>
      <c r="B12" s="6">
        <v>70</v>
      </c>
      <c r="C12" s="7">
        <v>56.4</v>
      </c>
      <c r="D12" s="30"/>
      <c r="E12" s="15" t="s">
        <v>16</v>
      </c>
      <c r="F12" s="15">
        <v>14</v>
      </c>
      <c r="G12" s="30"/>
      <c r="H12" s="30"/>
      <c r="I12" s="30"/>
      <c r="J12" s="30"/>
      <c r="K12" s="30"/>
      <c r="L12" s="30"/>
      <c r="M12" s="30"/>
    </row>
    <row r="13" spans="1:13" ht="19" thickBot="1" x14ac:dyDescent="0.25">
      <c r="A13" s="30"/>
      <c r="B13" s="6">
        <v>80</v>
      </c>
      <c r="C13" s="7">
        <v>70.22</v>
      </c>
      <c r="D13" s="30"/>
      <c r="E13" s="30"/>
      <c r="F13" s="30"/>
      <c r="G13" s="30"/>
      <c r="H13" s="30"/>
      <c r="I13" s="30"/>
      <c r="J13" s="30"/>
      <c r="K13" s="30"/>
      <c r="L13" s="30"/>
      <c r="M13" s="30"/>
    </row>
    <row r="14" spans="1:13" ht="19" thickBot="1" x14ac:dyDescent="0.25">
      <c r="A14" s="30"/>
      <c r="B14" s="6">
        <v>90</v>
      </c>
      <c r="C14" s="7">
        <v>86</v>
      </c>
      <c r="D14" s="30"/>
      <c r="E14" s="30" t="s">
        <v>17</v>
      </c>
      <c r="F14" s="30"/>
      <c r="G14" s="30"/>
      <c r="H14" s="30"/>
      <c r="I14" s="30"/>
      <c r="J14" s="30"/>
      <c r="K14" s="30"/>
      <c r="L14" s="30"/>
      <c r="M14" s="30"/>
    </row>
    <row r="15" spans="1:13" ht="19" thickBot="1" x14ac:dyDescent="0.25">
      <c r="A15" s="30"/>
      <c r="B15" s="6">
        <v>100</v>
      </c>
      <c r="C15" s="7">
        <v>105.8</v>
      </c>
      <c r="D15" s="30"/>
      <c r="E15" s="14"/>
      <c r="F15" s="14" t="s">
        <v>21</v>
      </c>
      <c r="G15" s="14" t="s">
        <v>22</v>
      </c>
      <c r="H15" s="14" t="s">
        <v>23</v>
      </c>
      <c r="I15" s="14" t="s">
        <v>24</v>
      </c>
      <c r="J15" s="14" t="s">
        <v>25</v>
      </c>
      <c r="K15" s="30"/>
      <c r="L15" s="30"/>
      <c r="M15" s="30"/>
    </row>
    <row r="16" spans="1:13" ht="19" thickBot="1" x14ac:dyDescent="0.25">
      <c r="A16" s="30"/>
      <c r="B16" s="6">
        <v>110</v>
      </c>
      <c r="C16" s="7">
        <v>120.55</v>
      </c>
      <c r="D16" s="30"/>
      <c r="E16" s="4" t="s">
        <v>18</v>
      </c>
      <c r="F16" s="4">
        <v>1</v>
      </c>
      <c r="G16" s="4">
        <v>45232.518058131871</v>
      </c>
      <c r="H16" s="4">
        <v>45232.518058131871</v>
      </c>
      <c r="I16" s="4">
        <v>319.64715075930945</v>
      </c>
      <c r="J16" s="4">
        <v>5.1426455288018896E-10</v>
      </c>
      <c r="K16" s="30"/>
      <c r="L16" s="30"/>
      <c r="M16" s="30"/>
    </row>
    <row r="17" spans="1:13" ht="19" thickBot="1" x14ac:dyDescent="0.25">
      <c r="A17" s="30"/>
      <c r="B17" s="6">
        <v>120</v>
      </c>
      <c r="C17" s="7">
        <v>141.33000000000001</v>
      </c>
      <c r="D17" s="30"/>
      <c r="E17" s="4" t="s">
        <v>19</v>
      </c>
      <c r="F17" s="4">
        <v>12</v>
      </c>
      <c r="G17" s="4">
        <v>1698.0918347252752</v>
      </c>
      <c r="H17" s="4">
        <v>141.50765289377293</v>
      </c>
      <c r="K17" s="30"/>
      <c r="L17" s="30"/>
      <c r="M17" s="30"/>
    </row>
    <row r="18" spans="1:13" ht="19" thickBot="1" x14ac:dyDescent="0.25">
      <c r="A18" s="30"/>
      <c r="B18" s="6">
        <v>130</v>
      </c>
      <c r="C18" s="7">
        <v>166.11</v>
      </c>
      <c r="D18" s="30"/>
      <c r="E18" s="15" t="s">
        <v>5</v>
      </c>
      <c r="F18" s="15">
        <v>13</v>
      </c>
      <c r="G18" s="15">
        <v>46930.609892857145</v>
      </c>
      <c r="H18" s="15"/>
      <c r="I18" s="15"/>
      <c r="J18" s="15"/>
      <c r="K18" s="30"/>
      <c r="L18" s="30"/>
      <c r="M18" s="30"/>
    </row>
    <row r="19" spans="1:13" ht="19" thickBot="1" x14ac:dyDescent="0.25">
      <c r="A19" s="30"/>
      <c r="B19" s="6">
        <v>140</v>
      </c>
      <c r="C19" s="7">
        <v>185.88</v>
      </c>
      <c r="D19" s="30"/>
      <c r="E19" s="30"/>
      <c r="F19" s="30"/>
      <c r="G19" s="30"/>
      <c r="H19" s="30"/>
      <c r="I19" s="30"/>
      <c r="J19" s="30"/>
      <c r="K19" s="30"/>
      <c r="L19" s="30"/>
      <c r="M19" s="30"/>
    </row>
    <row r="20" spans="1:13" x14ac:dyDescent="0.2">
      <c r="A20" s="30"/>
      <c r="B20" s="30"/>
      <c r="C20" s="30"/>
      <c r="D20" s="30"/>
      <c r="E20" s="14"/>
      <c r="F20" s="14" t="s">
        <v>26</v>
      </c>
      <c r="G20" s="14" t="s">
        <v>10</v>
      </c>
      <c r="H20" s="14" t="s">
        <v>27</v>
      </c>
      <c r="I20" s="14" t="s">
        <v>28</v>
      </c>
      <c r="J20" s="14" t="s">
        <v>29</v>
      </c>
      <c r="K20" s="14" t="s">
        <v>30</v>
      </c>
      <c r="L20" s="14" t="s">
        <v>31</v>
      </c>
      <c r="M20" s="14" t="s">
        <v>32</v>
      </c>
    </row>
    <row r="21" spans="1:13" x14ac:dyDescent="0.2">
      <c r="A21" s="30"/>
      <c r="B21" s="30"/>
      <c r="C21" s="30"/>
      <c r="D21" s="30"/>
      <c r="E21" s="4" t="s">
        <v>20</v>
      </c>
      <c r="F21" s="4">
        <v>-30.034505494505481</v>
      </c>
      <c r="G21" s="4">
        <v>6.7153440289895707</v>
      </c>
      <c r="H21" s="4">
        <v>-4.4725192581123272</v>
      </c>
      <c r="I21" s="4">
        <v>7.6230141667339387E-4</v>
      </c>
      <c r="J21" s="4">
        <v>-44.665983220497175</v>
      </c>
      <c r="K21" s="4">
        <v>-15.403027768513788</v>
      </c>
      <c r="L21" s="4">
        <v>-44.665983220497175</v>
      </c>
      <c r="M21" s="4">
        <v>-15.403027768513788</v>
      </c>
    </row>
    <row r="22" spans="1:13" ht="19" thickBot="1" x14ac:dyDescent="0.25">
      <c r="A22" s="30"/>
      <c r="B22" s="30"/>
      <c r="C22" s="30"/>
      <c r="D22" s="30"/>
      <c r="E22" s="15" t="s">
        <v>41</v>
      </c>
      <c r="F22" s="15">
        <v>1.4100505494505495</v>
      </c>
      <c r="G22" s="15">
        <v>7.8867715896400181E-2</v>
      </c>
      <c r="H22" s="73">
        <v>17.878678663685118</v>
      </c>
      <c r="I22" s="15">
        <v>5.1426455288018896E-10</v>
      </c>
      <c r="J22" s="15">
        <v>1.2382125582089227</v>
      </c>
      <c r="K22" s="15">
        <v>1.5818885406921763</v>
      </c>
      <c r="L22" s="15">
        <v>1.2382125582089227</v>
      </c>
      <c r="M22" s="15">
        <v>1.5818885406921763</v>
      </c>
    </row>
    <row r="23" spans="1:13" x14ac:dyDescent="0.2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</row>
    <row r="24" spans="1:13" x14ac:dyDescent="0.2">
      <c r="A24" s="30"/>
      <c r="B24" s="30"/>
      <c r="C24" s="30"/>
      <c r="D24" s="30"/>
      <c r="E24" s="30"/>
      <c r="G24" s="4" t="s">
        <v>52</v>
      </c>
      <c r="H24" s="76">
        <f>TINV(0.05,12)</f>
        <v>2.1788128296672284</v>
      </c>
      <c r="I24" s="132" t="s">
        <v>156</v>
      </c>
      <c r="J24" s="30" t="s">
        <v>157</v>
      </c>
      <c r="K24" s="30"/>
      <c r="L24" s="30"/>
      <c r="M24" s="30"/>
    </row>
    <row r="25" spans="1:13" x14ac:dyDescent="0.2">
      <c r="A25" s="30"/>
      <c r="B25" s="30"/>
      <c r="C25" s="30"/>
      <c r="D25" s="30"/>
      <c r="E25" s="30"/>
      <c r="G25" s="4" t="s">
        <v>51</v>
      </c>
      <c r="H25" s="74">
        <f>H22</f>
        <v>17.878678663685118</v>
      </c>
      <c r="I25" s="30"/>
      <c r="J25" s="30"/>
      <c r="K25" s="30"/>
      <c r="L25" s="30"/>
      <c r="M25" s="30"/>
    </row>
    <row r="26" spans="1:13" x14ac:dyDescent="0.2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</row>
    <row r="27" spans="1:13" x14ac:dyDescent="0.2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</row>
    <row r="28" spans="1:13" x14ac:dyDescent="0.2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</row>
    <row r="29" spans="1:13" x14ac:dyDescent="0.2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</row>
    <row r="30" spans="1:13" x14ac:dyDescent="0.2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</row>
    <row r="31" spans="1:13" ht="48" x14ac:dyDescent="0.25">
      <c r="A31" s="30"/>
      <c r="B31" s="30"/>
      <c r="C31" s="30"/>
      <c r="E31" s="82" t="s">
        <v>124</v>
      </c>
      <c r="F31" s="30"/>
      <c r="G31" s="30"/>
      <c r="H31" s="30"/>
      <c r="I31" s="30"/>
      <c r="J31" s="30"/>
      <c r="K31" s="30"/>
      <c r="L31" s="30"/>
      <c r="M31" s="30"/>
    </row>
    <row r="32" spans="1:13" ht="24" x14ac:dyDescent="0.3">
      <c r="A32" s="30"/>
      <c r="B32" s="30"/>
      <c r="C32" s="30"/>
      <c r="D32" s="30"/>
      <c r="E32" s="81"/>
      <c r="F32" s="30"/>
      <c r="G32" s="30"/>
      <c r="H32" s="30"/>
      <c r="I32" s="30"/>
      <c r="J32" s="30"/>
      <c r="K32" s="30"/>
      <c r="L32" s="30"/>
      <c r="M32" s="30"/>
    </row>
    <row r="33" spans="1:13" x14ac:dyDescent="0.2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</row>
    <row r="34" spans="1:13" x14ac:dyDescent="0.2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</row>
    <row r="35" spans="1:13" x14ac:dyDescent="0.2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</row>
    <row r="36" spans="1:13" x14ac:dyDescent="0.2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</row>
    <row r="37" spans="1:13" x14ac:dyDescent="0.2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</row>
    <row r="38" spans="1:13" x14ac:dyDescent="0.2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B6E11-E900-418B-BD20-2F861717116B}">
  <sheetPr>
    <tabColor theme="5" tint="0.39997558519241921"/>
  </sheetPr>
  <dimension ref="A1:Y38"/>
  <sheetViews>
    <sheetView topLeftCell="A14" zoomScale="68" workbookViewId="0">
      <selection activeCell="I7" sqref="I7"/>
    </sheetView>
  </sheetViews>
  <sheetFormatPr baseColWidth="10" defaultColWidth="8.83203125" defaultRowHeight="20" x14ac:dyDescent="0.2"/>
  <cols>
    <col min="1" max="1" width="8.83203125" style="57"/>
    <col min="2" max="2" width="18.1640625" style="57" customWidth="1"/>
    <col min="3" max="3" width="13.6640625" style="57" customWidth="1"/>
    <col min="4" max="4" width="8.83203125" style="57"/>
    <col min="5" max="5" width="26.1640625" style="57" customWidth="1"/>
    <col min="6" max="7" width="15.83203125" style="57" customWidth="1"/>
    <col min="8" max="8" width="30" style="57" customWidth="1"/>
    <col min="9" max="9" width="20.33203125" style="57" customWidth="1"/>
    <col min="10" max="10" width="17" style="57" customWidth="1"/>
    <col min="11" max="11" width="14" style="57" customWidth="1"/>
    <col min="12" max="12" width="16.1640625" style="57" customWidth="1"/>
    <col min="13" max="13" width="15" style="57" customWidth="1"/>
    <col min="14" max="24" width="8.83203125" style="57"/>
    <col min="25" max="25" width="11.83203125" style="57" customWidth="1"/>
    <col min="26" max="16384" width="8.83203125" style="57"/>
  </cols>
  <sheetData>
    <row r="1" spans="1:25" ht="42.5" customHeight="1" x14ac:dyDescent="0.2">
      <c r="B1" s="89" t="s">
        <v>113</v>
      </c>
      <c r="C1" s="56"/>
      <c r="D1" s="56"/>
      <c r="E1" s="56"/>
      <c r="F1" s="56"/>
      <c r="G1" s="56"/>
      <c r="H1" s="56"/>
      <c r="I1" s="56"/>
      <c r="J1" s="56"/>
      <c r="K1" s="56"/>
      <c r="L1" s="56"/>
    </row>
    <row r="2" spans="1:25" ht="21" thickBot="1" x14ac:dyDescent="0.25">
      <c r="A2" s="30"/>
      <c r="F2" s="30"/>
      <c r="G2" s="30"/>
      <c r="H2" s="30"/>
      <c r="I2" s="30"/>
      <c r="J2" s="30"/>
    </row>
    <row r="3" spans="1:25" ht="99" customHeight="1" x14ac:dyDescent="0.2">
      <c r="A3" s="30"/>
      <c r="B3" s="63" t="s">
        <v>41</v>
      </c>
      <c r="C3" s="64" t="s">
        <v>40</v>
      </c>
      <c r="D3" s="30"/>
      <c r="E3" s="57" t="s">
        <v>11</v>
      </c>
      <c r="F3" s="30"/>
      <c r="G3" s="30"/>
      <c r="H3" s="30"/>
      <c r="I3" s="30"/>
      <c r="J3" s="30"/>
    </row>
    <row r="4" spans="1:25" ht="21" thickBot="1" x14ac:dyDescent="0.25">
      <c r="A4" s="30"/>
      <c r="B4" s="58">
        <v>10</v>
      </c>
      <c r="C4" s="59">
        <v>4.2699999999999996</v>
      </c>
      <c r="D4" s="30"/>
      <c r="G4" s="30"/>
      <c r="H4" s="30"/>
      <c r="I4" s="30"/>
      <c r="J4" s="30"/>
    </row>
    <row r="5" spans="1:25" ht="21" thickBot="1" x14ac:dyDescent="0.25">
      <c r="A5" s="30"/>
      <c r="B5" s="58">
        <v>20</v>
      </c>
      <c r="C5" s="59">
        <v>8.5500000000000007</v>
      </c>
      <c r="D5" s="30"/>
      <c r="E5" s="60" t="s">
        <v>12</v>
      </c>
      <c r="F5" s="60"/>
      <c r="G5" s="30"/>
      <c r="H5" s="30"/>
      <c r="I5" s="30"/>
      <c r="J5" s="30"/>
    </row>
    <row r="6" spans="1:25" ht="21" thickBot="1" x14ac:dyDescent="0.25">
      <c r="A6" s="30"/>
      <c r="B6" s="58">
        <v>30</v>
      </c>
      <c r="C6" s="59">
        <v>15.32</v>
      </c>
      <c r="D6" s="30"/>
      <c r="E6" s="57" t="s">
        <v>13</v>
      </c>
      <c r="F6" s="57">
        <v>0.98174180230740604</v>
      </c>
      <c r="G6" s="30"/>
      <c r="H6" s="30"/>
      <c r="I6" s="30"/>
      <c r="J6" s="30"/>
    </row>
    <row r="7" spans="1:25" ht="21" thickBot="1" x14ac:dyDescent="0.25">
      <c r="A7" s="30"/>
      <c r="B7" s="58">
        <v>40</v>
      </c>
      <c r="C7" s="59">
        <v>23.11</v>
      </c>
      <c r="D7" s="30"/>
      <c r="E7" s="57" t="s">
        <v>14</v>
      </c>
      <c r="F7" s="57">
        <v>0.96381696639779391</v>
      </c>
      <c r="G7" s="30"/>
      <c r="H7" s="30"/>
      <c r="I7" s="30"/>
      <c r="J7" s="30"/>
    </row>
    <row r="8" spans="1:25" ht="21" thickBot="1" x14ac:dyDescent="0.25">
      <c r="A8" s="30"/>
      <c r="B8" s="58">
        <v>50</v>
      </c>
      <c r="C8" s="59">
        <v>32.880000000000003</v>
      </c>
      <c r="D8" s="30"/>
      <c r="E8" s="57" t="s">
        <v>15</v>
      </c>
      <c r="F8" s="57">
        <v>0.96080171359761002</v>
      </c>
      <c r="G8" s="30"/>
      <c r="H8" s="30"/>
      <c r="I8" s="30"/>
      <c r="J8" s="30"/>
      <c r="K8" s="30"/>
      <c r="L8" s="30"/>
      <c r="M8" s="30"/>
    </row>
    <row r="9" spans="1:25" ht="21" thickBot="1" x14ac:dyDescent="0.25">
      <c r="A9" s="30"/>
      <c r="B9" s="58">
        <v>60</v>
      </c>
      <c r="C9" s="59">
        <v>43.65</v>
      </c>
      <c r="D9" s="30"/>
      <c r="E9" s="57" t="s">
        <v>10</v>
      </c>
      <c r="F9" s="57">
        <v>11.89569892413947</v>
      </c>
      <c r="G9" s="30"/>
      <c r="H9" s="30"/>
      <c r="I9" s="30"/>
      <c r="J9" s="30"/>
      <c r="K9" s="30"/>
      <c r="L9" s="30"/>
      <c r="M9" s="30"/>
    </row>
    <row r="10" spans="1:25" ht="21" thickBot="1" x14ac:dyDescent="0.25">
      <c r="A10" s="30"/>
      <c r="B10" s="58">
        <v>70</v>
      </c>
      <c r="C10" s="59">
        <v>56.4</v>
      </c>
      <c r="D10" s="30"/>
      <c r="E10" s="61" t="s">
        <v>16</v>
      </c>
      <c r="F10" s="61">
        <v>14</v>
      </c>
      <c r="G10" s="30"/>
      <c r="H10" s="30"/>
      <c r="I10" s="30"/>
      <c r="J10" s="30"/>
      <c r="K10" s="30"/>
      <c r="L10" s="30"/>
      <c r="M10" s="30"/>
    </row>
    <row r="11" spans="1:25" ht="21" thickBot="1" x14ac:dyDescent="0.25">
      <c r="A11" s="30"/>
      <c r="B11" s="58">
        <v>80</v>
      </c>
      <c r="C11" s="59">
        <v>70.22</v>
      </c>
      <c r="D11" s="30"/>
      <c r="G11" s="30"/>
      <c r="H11" s="30"/>
      <c r="I11" s="30"/>
      <c r="J11" s="30"/>
      <c r="K11" s="30"/>
      <c r="L11" s="30"/>
      <c r="M11" s="30"/>
    </row>
    <row r="12" spans="1:25" ht="21" thickBot="1" x14ac:dyDescent="0.25">
      <c r="A12" s="30"/>
      <c r="B12" s="58">
        <v>90</v>
      </c>
      <c r="C12" s="59">
        <v>86</v>
      </c>
      <c r="D12" s="30"/>
      <c r="E12" s="57" t="s">
        <v>17</v>
      </c>
      <c r="G12" s="30"/>
      <c r="H12" s="30"/>
      <c r="I12" s="30"/>
      <c r="J12" s="30"/>
      <c r="K12" s="30"/>
      <c r="L12" s="30"/>
      <c r="M12" s="30"/>
    </row>
    <row r="13" spans="1:25" ht="21" thickBot="1" x14ac:dyDescent="0.25">
      <c r="A13" s="30"/>
      <c r="B13" s="58">
        <v>100</v>
      </c>
      <c r="C13" s="59">
        <v>105.8</v>
      </c>
      <c r="D13" s="30"/>
      <c r="E13" s="62"/>
      <c r="F13" s="62" t="s">
        <v>21</v>
      </c>
      <c r="G13" s="62" t="s">
        <v>22</v>
      </c>
      <c r="H13" s="62" t="s">
        <v>23</v>
      </c>
      <c r="I13" s="62" t="s">
        <v>24</v>
      </c>
      <c r="J13" s="62" t="s">
        <v>25</v>
      </c>
      <c r="K13" s="30"/>
      <c r="L13" s="30"/>
      <c r="M13" s="30"/>
    </row>
    <row r="14" spans="1:25" ht="21" thickBot="1" x14ac:dyDescent="0.25">
      <c r="A14" s="30"/>
      <c r="B14" s="58">
        <v>110</v>
      </c>
      <c r="C14" s="59">
        <v>120.55</v>
      </c>
      <c r="D14" s="30"/>
      <c r="E14" s="57" t="s">
        <v>18</v>
      </c>
      <c r="F14" s="57">
        <v>1</v>
      </c>
      <c r="G14" s="57">
        <v>45232.518058131871</v>
      </c>
      <c r="H14" s="57">
        <v>45232.518058131871</v>
      </c>
      <c r="I14" s="57">
        <v>319.64715075930945</v>
      </c>
      <c r="J14" s="57">
        <v>5.1426455288018896E-10</v>
      </c>
      <c r="K14" s="30"/>
      <c r="L14" s="30"/>
      <c r="M14" s="30"/>
      <c r="X14" s="57" t="s">
        <v>42</v>
      </c>
      <c r="Y14" s="27">
        <f>TINV(0.05,12)</f>
        <v>2.1788128296672284</v>
      </c>
    </row>
    <row r="15" spans="1:25" ht="21" thickBot="1" x14ac:dyDescent="0.25">
      <c r="A15" s="30"/>
      <c r="B15" s="58">
        <v>120</v>
      </c>
      <c r="C15" s="59">
        <v>141.33000000000001</v>
      </c>
      <c r="D15" s="30"/>
      <c r="E15" s="57" t="s">
        <v>19</v>
      </c>
      <c r="F15" s="57">
        <v>12</v>
      </c>
      <c r="G15" s="57">
        <v>1698.0918347252752</v>
      </c>
      <c r="H15" s="57">
        <v>141.50765289377293</v>
      </c>
      <c r="K15" s="30"/>
      <c r="L15" s="30"/>
      <c r="M15" s="30"/>
      <c r="X15" s="57" t="s">
        <v>44</v>
      </c>
      <c r="Y15" s="27">
        <f>TDIST(Y14,12,1 )</f>
        <v>2.5000000000000005E-2</v>
      </c>
    </row>
    <row r="16" spans="1:25" ht="21" thickBot="1" x14ac:dyDescent="0.25">
      <c r="A16" s="30"/>
      <c r="B16" s="58">
        <v>130</v>
      </c>
      <c r="C16" s="59">
        <v>166.11</v>
      </c>
      <c r="D16" s="30"/>
      <c r="E16" s="61" t="s">
        <v>5</v>
      </c>
      <c r="F16" s="61">
        <v>13</v>
      </c>
      <c r="G16" s="61">
        <v>46930.609892857145</v>
      </c>
      <c r="H16" s="61"/>
      <c r="I16" s="61"/>
      <c r="J16" s="61"/>
      <c r="K16" s="30"/>
      <c r="L16" s="30"/>
      <c r="M16" s="30"/>
    </row>
    <row r="17" spans="1:20" ht="21" thickBot="1" x14ac:dyDescent="0.25">
      <c r="A17" s="30"/>
      <c r="B17" s="58">
        <v>140</v>
      </c>
      <c r="C17" s="59">
        <v>185.88</v>
      </c>
      <c r="D17" s="30"/>
      <c r="K17" s="30"/>
      <c r="L17" s="30"/>
      <c r="M17" s="30"/>
    </row>
    <row r="18" spans="1:20" x14ac:dyDescent="0.2">
      <c r="A18" s="30"/>
      <c r="B18" s="30"/>
      <c r="C18" s="30"/>
      <c r="D18" s="30"/>
      <c r="E18" s="62"/>
      <c r="F18" s="62" t="s">
        <v>26</v>
      </c>
      <c r="G18" s="62" t="s">
        <v>10</v>
      </c>
      <c r="H18" s="62" t="s">
        <v>27</v>
      </c>
      <c r="I18" s="62" t="s">
        <v>28</v>
      </c>
      <c r="J18" s="62" t="s">
        <v>29</v>
      </c>
      <c r="K18" s="62" t="s">
        <v>30</v>
      </c>
      <c r="L18" s="62" t="s">
        <v>31</v>
      </c>
      <c r="M18" s="62" t="s">
        <v>32</v>
      </c>
    </row>
    <row r="19" spans="1:20" x14ac:dyDescent="0.2">
      <c r="A19" s="30"/>
      <c r="B19" s="30"/>
      <c r="C19" s="30"/>
      <c r="D19" s="30"/>
      <c r="E19" s="57" t="s">
        <v>20</v>
      </c>
      <c r="F19" s="57">
        <v>-30.034505494505481</v>
      </c>
      <c r="G19" s="57">
        <v>6.7153440289895707</v>
      </c>
      <c r="H19" s="57">
        <v>-4.4725192581123272</v>
      </c>
      <c r="I19" s="57">
        <v>7.6230141667339387E-4</v>
      </c>
      <c r="J19" s="57">
        <v>-44.665983220497175</v>
      </c>
      <c r="K19" s="57">
        <v>-15.403027768513788</v>
      </c>
      <c r="L19" s="57">
        <v>-44.665983220497175</v>
      </c>
      <c r="M19" s="57">
        <v>-15.403027768513788</v>
      </c>
    </row>
    <row r="20" spans="1:20" ht="21" thickBot="1" x14ac:dyDescent="0.25">
      <c r="A20" s="30"/>
      <c r="B20" s="30"/>
      <c r="C20" s="30"/>
      <c r="D20" s="30"/>
      <c r="E20" s="61" t="s">
        <v>41</v>
      </c>
      <c r="F20" s="61">
        <v>1.4100505494505495</v>
      </c>
      <c r="G20" s="61">
        <v>7.8867715896400181E-2</v>
      </c>
      <c r="H20" s="61">
        <v>17.878678663685118</v>
      </c>
      <c r="I20" s="61">
        <v>5.1426455288018896E-10</v>
      </c>
      <c r="J20" s="61">
        <v>1.2382125582089227</v>
      </c>
      <c r="K20" s="61">
        <v>1.5818885406921763</v>
      </c>
      <c r="L20" s="61">
        <v>1.2382125582089227</v>
      </c>
      <c r="M20" s="61">
        <v>1.5818885406921763</v>
      </c>
    </row>
    <row r="21" spans="1:20" x14ac:dyDescent="0.2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</row>
    <row r="22" spans="1:20" x14ac:dyDescent="0.2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</row>
    <row r="23" spans="1:20" x14ac:dyDescent="0.2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</row>
    <row r="24" spans="1:20" x14ac:dyDescent="0.2">
      <c r="A24" s="30"/>
      <c r="B24" s="30"/>
      <c r="C24" s="30"/>
      <c r="D24" s="30"/>
      <c r="E24" s="30"/>
      <c r="F24" s="30"/>
      <c r="G24" s="30"/>
      <c r="H24" s="163" t="s">
        <v>46</v>
      </c>
      <c r="I24" s="164"/>
      <c r="J24" s="85">
        <f>CORREL(B3:B17,C3:C17)</f>
        <v>0.98174180230740615</v>
      </c>
      <c r="K24" s="83"/>
      <c r="L24" s="30"/>
      <c r="M24" s="30"/>
      <c r="N24" s="30"/>
    </row>
    <row r="25" spans="1:20" x14ac:dyDescent="0.2">
      <c r="A25" s="30"/>
      <c r="B25" s="30"/>
      <c r="C25" s="30"/>
      <c r="D25" s="30"/>
      <c r="E25" s="30"/>
      <c r="F25" s="30"/>
      <c r="G25" s="30"/>
      <c r="H25" s="165"/>
      <c r="I25" s="166"/>
      <c r="J25" s="85"/>
      <c r="K25" s="83"/>
      <c r="L25" s="30"/>
      <c r="M25" s="30"/>
      <c r="N25" s="30"/>
    </row>
    <row r="26" spans="1:20" x14ac:dyDescent="0.2">
      <c r="A26" s="30"/>
      <c r="B26" s="30"/>
      <c r="C26" s="30"/>
      <c r="D26" s="30"/>
      <c r="E26" s="30"/>
      <c r="F26" s="30"/>
      <c r="G26" s="30"/>
      <c r="H26" s="86" t="s">
        <v>45</v>
      </c>
      <c r="I26" s="83"/>
      <c r="J26" s="86">
        <f>J24*SQRT((14-2)/(1-J24^2))</f>
        <v>17.878678663685172</v>
      </c>
      <c r="K26" s="83"/>
      <c r="L26" s="30"/>
      <c r="M26" s="30"/>
      <c r="N26" s="30"/>
    </row>
    <row r="27" spans="1:20" x14ac:dyDescent="0.2">
      <c r="A27" s="30"/>
      <c r="B27" s="30"/>
      <c r="C27" s="30"/>
      <c r="D27" s="30"/>
      <c r="E27" s="30"/>
      <c r="F27" s="30"/>
      <c r="G27" s="30"/>
      <c r="H27" s="86" t="s">
        <v>47</v>
      </c>
      <c r="I27" s="83"/>
      <c r="J27" s="86">
        <f>TINV(0.05,12)</f>
        <v>2.1788128296672284</v>
      </c>
      <c r="K27" s="83"/>
      <c r="L27" s="30"/>
      <c r="M27" s="30"/>
      <c r="N27" s="30"/>
    </row>
    <row r="28" spans="1:20" x14ac:dyDescent="0.2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R28" s="57" t="s">
        <v>134</v>
      </c>
      <c r="S28" s="57">
        <f>_xlfn.F.INV(0.05,1,12)</f>
        <v>4.099939493891599E-3</v>
      </c>
      <c r="T28" s="133" t="s">
        <v>158</v>
      </c>
    </row>
    <row r="29" spans="1:20" x14ac:dyDescent="0.2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</row>
    <row r="30" spans="1:20" x14ac:dyDescent="0.2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</row>
    <row r="31" spans="1:20" x14ac:dyDescent="0.2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</row>
    <row r="32" spans="1:20" x14ac:dyDescent="0.2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</row>
    <row r="33" spans="1:14" x14ac:dyDescent="0.2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</row>
    <row r="34" spans="1:14" x14ac:dyDescent="0.2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</row>
    <row r="35" spans="1:14" x14ac:dyDescent="0.2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</row>
    <row r="36" spans="1:14" ht="24" x14ac:dyDescent="0.25">
      <c r="A36" s="30"/>
      <c r="B36" s="30"/>
      <c r="C36" s="30"/>
      <c r="D36" s="30"/>
      <c r="E36" s="82" t="s">
        <v>124</v>
      </c>
      <c r="F36" s="30"/>
      <c r="G36" s="30"/>
      <c r="H36" s="30"/>
      <c r="I36" s="30"/>
      <c r="J36" s="30"/>
      <c r="K36" s="30"/>
      <c r="L36" s="30"/>
      <c r="M36" s="30"/>
      <c r="N36" s="30"/>
    </row>
    <row r="37" spans="1:14" ht="24" x14ac:dyDescent="0.3">
      <c r="A37" s="30"/>
      <c r="B37" s="30"/>
      <c r="C37" s="30"/>
      <c r="D37" s="30"/>
      <c r="E37" s="81"/>
      <c r="F37" s="30"/>
      <c r="G37" s="30"/>
      <c r="H37" s="30"/>
      <c r="I37" s="30"/>
      <c r="J37" s="30"/>
      <c r="K37" s="30"/>
      <c r="L37" s="30"/>
      <c r="M37" s="30"/>
      <c r="N37" s="30"/>
    </row>
    <row r="38" spans="1:14" x14ac:dyDescent="0.2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</row>
  </sheetData>
  <mergeCells count="1">
    <mergeCell ref="H24:I25"/>
  </mergeCells>
  <pageMargins left="0.7" right="0.7" top="0.75" bottom="0.75" header="0.3" footer="0.3"/>
  <pageSetup orientation="portrait" horizontalDpi="300" verticalDpi="300" r:id="rId1"/>
  <drawing r:id="rId2"/>
  <legacyDrawing r:id="rId3"/>
  <oleObjects>
    <mc:AlternateContent xmlns:mc="http://schemas.openxmlformats.org/markup-compatibility/2006">
      <mc:Choice Requires="x14">
        <oleObject progId="Equation.3" shapeId="7169" r:id="rId4">
          <objectPr defaultSize="0" autoPict="0" altText="" r:id="rId5">
            <anchor moveWithCells="1" sizeWithCells="1">
              <from>
                <xdr:col>17</xdr:col>
                <xdr:colOff>317500</xdr:colOff>
                <xdr:row>12</xdr:row>
                <xdr:rowOff>50800</xdr:rowOff>
              </from>
              <to>
                <xdr:col>18</xdr:col>
                <xdr:colOff>482600</xdr:colOff>
                <xdr:row>14</xdr:row>
                <xdr:rowOff>127000</xdr:rowOff>
              </to>
            </anchor>
          </objectPr>
        </oleObject>
      </mc:Choice>
      <mc:Fallback>
        <oleObject progId="Equation.3" shapeId="7169" r:id="rId4"/>
      </mc:Fallback>
    </mc:AlternateContent>
    <mc:AlternateContent xmlns:mc="http://schemas.openxmlformats.org/markup-compatibility/2006">
      <mc:Choice Requires="x14">
        <oleObject progId="Equation.3" shapeId="7170" r:id="rId6">
          <objectPr defaultSize="0" autoPict="0" altText="" r:id="rId7">
            <anchor moveWithCells="1" sizeWithCells="1">
              <from>
                <xdr:col>18</xdr:col>
                <xdr:colOff>177800</xdr:colOff>
                <xdr:row>15</xdr:row>
                <xdr:rowOff>50800</xdr:rowOff>
              </from>
              <to>
                <xdr:col>19</xdr:col>
                <xdr:colOff>304800</xdr:colOff>
                <xdr:row>17</xdr:row>
                <xdr:rowOff>38100</xdr:rowOff>
              </to>
            </anchor>
          </objectPr>
        </oleObject>
      </mc:Choice>
      <mc:Fallback>
        <oleObject progId="Equation.3" shapeId="7170" r:id="rId6"/>
      </mc:Fallback>
    </mc:AlternateContent>
    <mc:AlternateContent xmlns:mc="http://schemas.openxmlformats.org/markup-compatibility/2006">
      <mc:Choice Requires="x14">
        <oleObject progId="Equation.3" shapeId="7174" r:id="rId8">
          <objectPr defaultSize="0" autoPict="0" altText="" r:id="rId9">
            <anchor moveWithCells="1" sizeWithCells="1">
              <from>
                <xdr:col>3</xdr:col>
                <xdr:colOff>368300</xdr:colOff>
                <xdr:row>24</xdr:row>
                <xdr:rowOff>114300</xdr:rowOff>
              </from>
              <to>
                <xdr:col>4</xdr:col>
                <xdr:colOff>1308100</xdr:colOff>
                <xdr:row>27</xdr:row>
                <xdr:rowOff>12700</xdr:rowOff>
              </to>
            </anchor>
          </objectPr>
        </oleObject>
      </mc:Choice>
      <mc:Fallback>
        <oleObject progId="Equation.3" shapeId="7174" r:id="rId8"/>
      </mc:Fallback>
    </mc:AlternateContent>
    <mc:AlternateContent xmlns:mc="http://schemas.openxmlformats.org/markup-compatibility/2006">
      <mc:Choice Requires="x14">
        <oleObject progId="Equation.3" shapeId="7175" r:id="rId10">
          <objectPr defaultSize="0" autoPict="0" altText="" r:id="rId11">
            <anchor moveWithCells="1" sizeWithCells="1">
              <from>
                <xdr:col>3</xdr:col>
                <xdr:colOff>660400</xdr:colOff>
                <xdr:row>31</xdr:row>
                <xdr:rowOff>139700</xdr:rowOff>
              </from>
              <to>
                <xdr:col>4</xdr:col>
                <xdr:colOff>1397000</xdr:colOff>
                <xdr:row>33</xdr:row>
                <xdr:rowOff>139700</xdr:rowOff>
              </to>
            </anchor>
          </objectPr>
        </oleObject>
      </mc:Choice>
      <mc:Fallback>
        <oleObject progId="Equation.3" shapeId="7175" r:id="rId10"/>
      </mc:Fallback>
    </mc:AlternateContent>
  </oleObjec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26B0A-342B-4FA2-B954-F74A7040BABA}">
  <sheetPr>
    <tabColor theme="7" tint="0.39997558519241921"/>
  </sheetPr>
  <dimension ref="A2:P50"/>
  <sheetViews>
    <sheetView topLeftCell="A8" zoomScale="87" workbookViewId="0">
      <selection activeCell="B38" sqref="B38:B41"/>
    </sheetView>
  </sheetViews>
  <sheetFormatPr baseColWidth="10" defaultColWidth="8.83203125" defaultRowHeight="16" customHeight="1" x14ac:dyDescent="0.2"/>
  <cols>
    <col min="1" max="1" width="8.83203125" style="4"/>
    <col min="2" max="3" width="20.83203125" style="4" customWidth="1"/>
    <col min="4" max="4" width="25.6640625" style="4" customWidth="1"/>
    <col min="5" max="5" width="12.33203125" style="4" customWidth="1"/>
    <col min="6" max="6" width="15.6640625" style="4" customWidth="1"/>
    <col min="7" max="7" width="12.1640625" style="4" customWidth="1"/>
    <col min="8" max="10" width="8.83203125" style="4"/>
    <col min="11" max="11" width="21.83203125" style="4" customWidth="1"/>
    <col min="12" max="12" width="15.5" style="4" customWidth="1"/>
    <col min="13" max="13" width="8.83203125" style="4"/>
    <col min="14" max="14" width="8.83203125" style="30"/>
    <col min="15" max="16384" width="8.83203125" style="4"/>
  </cols>
  <sheetData>
    <row r="2" spans="1:13" ht="20" customHeight="1" x14ac:dyDescent="0.2">
      <c r="A2" s="30"/>
      <c r="B2" s="120" t="s">
        <v>132</v>
      </c>
      <c r="C2" s="2"/>
      <c r="D2" s="2"/>
      <c r="E2" s="2"/>
      <c r="F2" s="2"/>
      <c r="G2" s="3"/>
      <c r="H2" s="2"/>
      <c r="I2" s="2"/>
      <c r="J2" s="2"/>
      <c r="K2" s="2"/>
      <c r="L2" s="30"/>
      <c r="M2" s="30"/>
    </row>
    <row r="3" spans="1:13" ht="20" customHeight="1" thickBot="1" x14ac:dyDescent="0.25">
      <c r="A3" s="30"/>
      <c r="D3" s="30"/>
      <c r="E3" s="30"/>
      <c r="F3" s="30"/>
      <c r="G3" s="30"/>
      <c r="H3" s="30"/>
      <c r="I3" s="30"/>
      <c r="J3" s="30"/>
      <c r="L3" s="30"/>
      <c r="M3" s="30"/>
    </row>
    <row r="4" spans="1:13" ht="36" customHeight="1" x14ac:dyDescent="0.2">
      <c r="A4" s="30"/>
      <c r="B4" s="16" t="s">
        <v>0</v>
      </c>
      <c r="C4" s="33" t="s">
        <v>2</v>
      </c>
      <c r="D4" s="30"/>
      <c r="E4" s="30"/>
      <c r="F4" s="30"/>
      <c r="G4" s="30"/>
      <c r="H4" s="30"/>
      <c r="I4" s="30"/>
      <c r="J4" s="30"/>
      <c r="K4" s="5" t="s">
        <v>37</v>
      </c>
      <c r="L4" s="30"/>
      <c r="M4" s="30"/>
    </row>
    <row r="5" spans="1:13" ht="20" customHeight="1" thickBot="1" x14ac:dyDescent="0.25">
      <c r="A5" s="30"/>
      <c r="B5" s="18" t="s">
        <v>1</v>
      </c>
      <c r="C5" s="34" t="s">
        <v>3</v>
      </c>
      <c r="D5" s="30"/>
      <c r="E5" s="30"/>
      <c r="F5" s="30"/>
      <c r="G5" s="30"/>
      <c r="H5" s="30"/>
      <c r="I5" s="30"/>
      <c r="J5" s="30"/>
      <c r="L5" s="30"/>
      <c r="M5" s="30"/>
    </row>
    <row r="6" spans="1:13" ht="20" customHeight="1" thickBot="1" x14ac:dyDescent="0.25">
      <c r="A6" s="30"/>
      <c r="B6" s="6">
        <v>10</v>
      </c>
      <c r="C6" s="35">
        <v>4.2699999999999996</v>
      </c>
      <c r="D6" s="30"/>
      <c r="E6" s="30"/>
      <c r="F6" s="76" t="s">
        <v>49</v>
      </c>
      <c r="G6" s="76"/>
      <c r="H6" s="30"/>
      <c r="I6" s="30"/>
      <c r="J6" s="30"/>
      <c r="K6" s="8" t="s">
        <v>115</v>
      </c>
      <c r="L6" s="9">
        <f>INTERCEPT(C6:C19,B6:B19)</f>
        <v>-30.034505494505481</v>
      </c>
      <c r="M6" s="30"/>
    </row>
    <row r="7" spans="1:13" ht="20" customHeight="1" thickBot="1" x14ac:dyDescent="0.25">
      <c r="A7" s="30"/>
      <c r="B7" s="6">
        <v>20</v>
      </c>
      <c r="C7" s="35">
        <v>8.5500000000000007</v>
      </c>
      <c r="D7" s="30"/>
      <c r="E7" s="30"/>
      <c r="F7" s="77" t="s">
        <v>35</v>
      </c>
      <c r="G7" s="77"/>
      <c r="H7" s="30"/>
      <c r="I7" s="30"/>
      <c r="J7" s="30"/>
      <c r="K7" s="8" t="s">
        <v>116</v>
      </c>
      <c r="L7" s="9">
        <f>SLOPE(C6:C19,B6:B19)</f>
        <v>1.4100505494505495</v>
      </c>
      <c r="M7" s="30"/>
    </row>
    <row r="8" spans="1:13" ht="20" customHeight="1" thickBot="1" x14ac:dyDescent="0.25">
      <c r="A8" s="30"/>
      <c r="B8" s="6">
        <v>30</v>
      </c>
      <c r="C8" s="35">
        <v>15.32</v>
      </c>
      <c r="D8" s="30"/>
      <c r="E8" s="30"/>
      <c r="F8" s="30"/>
      <c r="G8" s="30"/>
      <c r="H8" s="30"/>
      <c r="I8" s="30"/>
      <c r="J8" s="30"/>
      <c r="K8" s="30"/>
      <c r="L8" s="30"/>
      <c r="M8" s="30"/>
    </row>
    <row r="9" spans="1:13" ht="20" customHeight="1" thickBot="1" x14ac:dyDescent="0.25">
      <c r="A9" s="30"/>
      <c r="B9" s="6">
        <v>40</v>
      </c>
      <c r="C9" s="35">
        <v>23.11</v>
      </c>
      <c r="D9" s="30"/>
      <c r="E9" s="30"/>
      <c r="F9" s="76" t="s">
        <v>48</v>
      </c>
      <c r="G9" s="76">
        <f>L6+L7*180</f>
        <v>223.77459340659343</v>
      </c>
      <c r="H9" s="30"/>
      <c r="I9" s="30"/>
      <c r="J9" s="30"/>
      <c r="K9" s="30"/>
      <c r="L9" s="30"/>
      <c r="M9" s="30"/>
    </row>
    <row r="10" spans="1:13" ht="16" customHeight="1" thickBot="1" x14ac:dyDescent="0.25">
      <c r="A10" s="30"/>
      <c r="B10" s="6">
        <v>50</v>
      </c>
      <c r="C10" s="35">
        <v>32.880000000000003</v>
      </c>
      <c r="D10" s="30"/>
      <c r="E10" s="30"/>
      <c r="F10" s="30"/>
      <c r="G10" s="30"/>
      <c r="H10" s="30"/>
      <c r="I10" s="30"/>
      <c r="J10" s="30"/>
      <c r="K10" s="30"/>
      <c r="L10" s="30"/>
      <c r="M10" s="30"/>
    </row>
    <row r="11" spans="1:13" ht="16" customHeight="1" thickBot="1" x14ac:dyDescent="0.25">
      <c r="A11" s="30"/>
      <c r="B11" s="6">
        <v>60</v>
      </c>
      <c r="C11" s="35">
        <v>43.65</v>
      </c>
      <c r="D11" s="30"/>
      <c r="E11" s="30"/>
      <c r="F11" s="30"/>
      <c r="G11" s="30"/>
      <c r="H11" s="30"/>
      <c r="I11" s="30"/>
      <c r="J11" s="30"/>
      <c r="K11" s="30"/>
      <c r="L11" s="30"/>
      <c r="M11" s="30"/>
    </row>
    <row r="12" spans="1:13" ht="16" customHeight="1" thickBot="1" x14ac:dyDescent="0.25">
      <c r="A12" s="30"/>
      <c r="B12" s="6">
        <v>70</v>
      </c>
      <c r="C12" s="35">
        <v>56.4</v>
      </c>
      <c r="D12" s="30"/>
      <c r="E12" s="30"/>
      <c r="F12" s="30"/>
      <c r="G12" s="30"/>
      <c r="H12" s="30"/>
      <c r="I12" s="30"/>
      <c r="J12" s="30"/>
      <c r="K12" s="30"/>
      <c r="L12" s="30"/>
      <c r="M12" s="30"/>
    </row>
    <row r="13" spans="1:13" ht="16" customHeight="1" thickBot="1" x14ac:dyDescent="0.25">
      <c r="A13" s="30"/>
      <c r="B13" s="6">
        <v>80</v>
      </c>
      <c r="C13" s="35">
        <v>70.22</v>
      </c>
      <c r="D13" s="30"/>
      <c r="E13" s="30"/>
      <c r="F13" s="30"/>
      <c r="G13" s="30"/>
      <c r="H13" s="30"/>
      <c r="I13" s="30"/>
      <c r="J13" s="30"/>
      <c r="K13" s="30"/>
      <c r="L13" s="30"/>
      <c r="M13" s="30"/>
    </row>
    <row r="14" spans="1:13" ht="16" customHeight="1" thickBot="1" x14ac:dyDescent="0.25">
      <c r="A14" s="30"/>
      <c r="B14" s="6">
        <v>90</v>
      </c>
      <c r="C14" s="35">
        <v>86</v>
      </c>
      <c r="D14" s="30"/>
      <c r="E14" s="30"/>
      <c r="F14" s="1" t="s">
        <v>60</v>
      </c>
      <c r="G14" s="1"/>
      <c r="H14" s="1"/>
      <c r="I14" s="1"/>
      <c r="J14" s="1"/>
      <c r="K14" s="1"/>
      <c r="L14" s="30"/>
      <c r="M14" s="30"/>
    </row>
    <row r="15" spans="1:13" ht="16" customHeight="1" thickBot="1" x14ac:dyDescent="0.25">
      <c r="A15" s="30"/>
      <c r="B15" s="6">
        <v>100</v>
      </c>
      <c r="C15" s="35">
        <v>105.8</v>
      </c>
      <c r="D15" s="30"/>
      <c r="E15" s="30"/>
      <c r="F15" s="167" t="s">
        <v>74</v>
      </c>
      <c r="G15" s="167"/>
      <c r="H15" s="167"/>
      <c r="I15" s="167"/>
      <c r="J15" s="167"/>
      <c r="K15" s="167"/>
      <c r="L15" s="30"/>
      <c r="M15" s="30"/>
    </row>
    <row r="16" spans="1:13" ht="16" customHeight="1" thickBot="1" x14ac:dyDescent="0.25">
      <c r="A16" s="30"/>
      <c r="B16" s="6">
        <v>110</v>
      </c>
      <c r="C16" s="35">
        <v>120.55</v>
      </c>
      <c r="D16" s="30"/>
      <c r="E16" s="30"/>
      <c r="F16" s="167"/>
      <c r="G16" s="167"/>
      <c r="H16" s="167"/>
      <c r="I16" s="167"/>
      <c r="J16" s="167"/>
      <c r="K16" s="167"/>
      <c r="L16" s="30"/>
      <c r="M16" s="30"/>
    </row>
    <row r="17" spans="1:13" ht="16" customHeight="1" thickBot="1" x14ac:dyDescent="0.25">
      <c r="A17" s="30"/>
      <c r="B17" s="6">
        <v>120</v>
      </c>
      <c r="C17" s="35">
        <v>141.33000000000001</v>
      </c>
      <c r="D17" s="30"/>
      <c r="E17" s="30"/>
      <c r="F17" s="30"/>
      <c r="G17" s="30"/>
      <c r="H17" s="30"/>
      <c r="I17" s="30"/>
      <c r="J17" s="30"/>
      <c r="K17" s="30"/>
      <c r="L17" s="30"/>
      <c r="M17" s="30"/>
    </row>
    <row r="18" spans="1:13" ht="16" customHeight="1" thickBot="1" x14ac:dyDescent="0.25">
      <c r="A18" s="30"/>
      <c r="B18" s="6">
        <v>130</v>
      </c>
      <c r="C18" s="35">
        <v>166.11</v>
      </c>
      <c r="D18" s="30"/>
      <c r="E18" s="30"/>
      <c r="F18" s="30"/>
      <c r="G18" s="30"/>
      <c r="H18" s="30"/>
      <c r="I18" s="30"/>
      <c r="J18" s="30"/>
      <c r="K18" s="30"/>
      <c r="L18" s="30"/>
      <c r="M18" s="30"/>
    </row>
    <row r="19" spans="1:13" ht="16" customHeight="1" thickBot="1" x14ac:dyDescent="0.25">
      <c r="A19" s="30"/>
      <c r="B19" s="6">
        <v>140</v>
      </c>
      <c r="C19" s="35">
        <v>185.88</v>
      </c>
      <c r="D19" s="30"/>
      <c r="E19" s="30"/>
      <c r="F19" s="30"/>
      <c r="G19" s="30"/>
      <c r="H19" s="30"/>
      <c r="I19" s="30"/>
      <c r="J19" s="30"/>
      <c r="K19" s="30"/>
      <c r="L19" s="30"/>
      <c r="M19" s="30"/>
    </row>
    <row r="20" spans="1:13" ht="16" customHeight="1" x14ac:dyDescent="0.2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</row>
    <row r="21" spans="1:13" ht="16" customHeight="1" x14ac:dyDescent="0.2">
      <c r="A21" s="30"/>
      <c r="B21" s="30"/>
      <c r="C21" s="84" t="s">
        <v>114</v>
      </c>
      <c r="D21" s="84" t="s">
        <v>75</v>
      </c>
      <c r="E21" s="30"/>
      <c r="F21" s="30"/>
      <c r="G21" s="30"/>
      <c r="H21" s="30"/>
      <c r="I21" s="30"/>
      <c r="J21" s="30"/>
      <c r="K21" s="30"/>
      <c r="L21" s="30"/>
      <c r="M21" s="30"/>
    </row>
    <row r="22" spans="1:13" ht="16" customHeight="1" x14ac:dyDescent="0.2">
      <c r="A22" s="30"/>
      <c r="B22" s="30"/>
      <c r="C22" s="122" t="s">
        <v>135</v>
      </c>
      <c r="D22" s="122" t="s">
        <v>136</v>
      </c>
      <c r="E22" s="122" t="s">
        <v>137</v>
      </c>
      <c r="F22" s="122" t="s">
        <v>138</v>
      </c>
      <c r="G22" s="30"/>
      <c r="H22" s="30"/>
      <c r="I22" s="30"/>
      <c r="J22" s="30"/>
      <c r="K22" s="30"/>
      <c r="L22" s="30"/>
      <c r="M22" s="30"/>
    </row>
    <row r="23" spans="1:13" ht="50" customHeight="1" x14ac:dyDescent="0.2">
      <c r="A23" s="30"/>
      <c r="B23" s="4" t="s">
        <v>61</v>
      </c>
      <c r="C23" s="4" t="s">
        <v>62</v>
      </c>
      <c r="D23" s="75" t="s">
        <v>63</v>
      </c>
      <c r="E23" s="75" t="s">
        <v>64</v>
      </c>
      <c r="F23" s="75" t="s">
        <v>65</v>
      </c>
      <c r="G23" s="30" t="s">
        <v>139</v>
      </c>
      <c r="H23" s="30"/>
      <c r="I23" s="30"/>
      <c r="J23" s="30"/>
      <c r="K23" s="30"/>
      <c r="L23" s="30"/>
      <c r="M23" s="30"/>
    </row>
    <row r="24" spans="1:13" ht="16" customHeight="1" x14ac:dyDescent="0.2">
      <c r="A24" s="30"/>
      <c r="B24" s="4">
        <v>10</v>
      </c>
      <c r="C24" s="4">
        <v>4.2699999999999996</v>
      </c>
      <c r="G24" s="30"/>
      <c r="H24" s="30"/>
      <c r="I24" s="30"/>
      <c r="J24" s="30"/>
      <c r="K24" s="30"/>
      <c r="L24" s="30"/>
      <c r="M24" s="30"/>
    </row>
    <row r="25" spans="1:13" ht="16" customHeight="1" x14ac:dyDescent="0.2">
      <c r="A25" s="30"/>
      <c r="B25" s="4">
        <v>20</v>
      </c>
      <c r="C25" s="4">
        <v>8.5500000000000007</v>
      </c>
      <c r="G25" s="30"/>
      <c r="H25" s="30"/>
      <c r="I25" s="30"/>
      <c r="J25" s="30"/>
      <c r="K25" s="30"/>
      <c r="L25" s="30"/>
      <c r="M25" s="30"/>
    </row>
    <row r="26" spans="1:13" ht="16" customHeight="1" x14ac:dyDescent="0.2">
      <c r="A26" s="30"/>
      <c r="B26" s="4">
        <v>30</v>
      </c>
      <c r="C26" s="4">
        <v>15.32</v>
      </c>
      <c r="G26" s="30"/>
      <c r="H26" s="30"/>
      <c r="I26" s="30"/>
      <c r="J26" s="30"/>
      <c r="K26" s="30"/>
      <c r="L26" s="30"/>
      <c r="M26" s="30"/>
    </row>
    <row r="27" spans="1:13" ht="16" customHeight="1" x14ac:dyDescent="0.2">
      <c r="A27" s="30"/>
      <c r="B27" s="4">
        <v>40</v>
      </c>
      <c r="C27" s="4">
        <v>23.11</v>
      </c>
      <c r="G27" s="30"/>
      <c r="H27" s="30"/>
      <c r="I27" s="30"/>
      <c r="J27" s="30"/>
      <c r="K27" s="30"/>
      <c r="L27" s="30"/>
      <c r="M27" s="30"/>
    </row>
    <row r="28" spans="1:13" ht="16" customHeight="1" x14ac:dyDescent="0.2">
      <c r="A28" s="30"/>
      <c r="B28" s="4">
        <v>50</v>
      </c>
      <c r="C28" s="4">
        <v>32.880000000000003</v>
      </c>
      <c r="G28" s="30"/>
      <c r="H28" s="30"/>
      <c r="I28" s="30"/>
      <c r="J28" s="30"/>
      <c r="K28" s="30"/>
      <c r="L28" s="30"/>
      <c r="M28" s="30"/>
    </row>
    <row r="29" spans="1:13" ht="16" customHeight="1" x14ac:dyDescent="0.2">
      <c r="A29" s="30"/>
      <c r="B29" s="4">
        <v>60</v>
      </c>
      <c r="C29" s="4">
        <v>43.65</v>
      </c>
      <c r="G29" s="30"/>
      <c r="I29" s="30"/>
      <c r="J29" s="30"/>
      <c r="K29" s="30"/>
      <c r="L29" s="30"/>
      <c r="M29" s="30"/>
    </row>
    <row r="30" spans="1:13" ht="16" customHeight="1" x14ac:dyDescent="0.2">
      <c r="A30" s="30"/>
      <c r="B30" s="4">
        <v>70</v>
      </c>
      <c r="C30" s="4">
        <v>56.4</v>
      </c>
      <c r="G30" s="30"/>
      <c r="H30" s="30"/>
      <c r="I30" s="30"/>
      <c r="J30" s="30"/>
      <c r="K30" s="30"/>
      <c r="L30" s="30"/>
      <c r="M30" s="30"/>
    </row>
    <row r="31" spans="1:13" ht="16" customHeight="1" x14ac:dyDescent="0.2">
      <c r="A31" s="30"/>
      <c r="B31" s="4">
        <v>80</v>
      </c>
      <c r="C31" s="4">
        <v>70.22</v>
      </c>
      <c r="G31" s="30"/>
      <c r="H31" s="30"/>
      <c r="I31" s="30"/>
      <c r="J31" s="30"/>
      <c r="K31" s="30"/>
      <c r="L31" s="30"/>
      <c r="M31" s="30"/>
    </row>
    <row r="32" spans="1:13" ht="16" customHeight="1" x14ac:dyDescent="0.2">
      <c r="A32" s="30"/>
      <c r="B32" s="4">
        <v>90</v>
      </c>
      <c r="C32" s="4">
        <v>86</v>
      </c>
      <c r="G32" s="30"/>
      <c r="H32" s="30"/>
      <c r="I32" s="30"/>
      <c r="J32" s="30"/>
      <c r="K32" s="30"/>
      <c r="L32" s="30"/>
      <c r="M32" s="30"/>
    </row>
    <row r="33" spans="1:16" ht="16" customHeight="1" x14ac:dyDescent="0.2">
      <c r="A33" s="30"/>
      <c r="B33" s="4">
        <v>100</v>
      </c>
      <c r="C33" s="4">
        <v>105.8</v>
      </c>
      <c r="G33" s="30"/>
      <c r="H33" s="30"/>
      <c r="I33" s="30"/>
      <c r="J33" s="30"/>
      <c r="K33" s="30"/>
      <c r="L33" s="30"/>
      <c r="M33" s="30"/>
    </row>
    <row r="34" spans="1:16" ht="16" customHeight="1" x14ac:dyDescent="0.2">
      <c r="A34" s="30"/>
      <c r="B34" s="4">
        <v>110</v>
      </c>
      <c r="C34" s="4">
        <v>120.55</v>
      </c>
      <c r="G34" s="30"/>
      <c r="H34" s="30"/>
      <c r="I34" s="30"/>
      <c r="J34" s="30"/>
      <c r="K34" s="30"/>
      <c r="L34" s="30"/>
      <c r="M34" s="30"/>
    </row>
    <row r="35" spans="1:16" ht="16" customHeight="1" x14ac:dyDescent="0.2">
      <c r="A35" s="30"/>
      <c r="B35" s="4">
        <v>120</v>
      </c>
      <c r="C35" s="4">
        <v>141.33000000000001</v>
      </c>
      <c r="G35" s="30"/>
      <c r="H35" s="30"/>
      <c r="I35" s="30"/>
      <c r="J35" s="30"/>
      <c r="K35" s="30"/>
      <c r="L35" s="30"/>
      <c r="M35" s="30"/>
    </row>
    <row r="36" spans="1:16" ht="16" customHeight="1" x14ac:dyDescent="0.2">
      <c r="A36" s="30"/>
      <c r="B36" s="4">
        <v>130</v>
      </c>
      <c r="C36" s="4">
        <v>166.11</v>
      </c>
      <c r="G36" s="30"/>
      <c r="H36" s="30"/>
      <c r="I36" s="30"/>
      <c r="J36" s="30"/>
      <c r="K36" s="30"/>
      <c r="L36" s="30"/>
      <c r="M36" s="30"/>
    </row>
    <row r="37" spans="1:16" ht="16" customHeight="1" x14ac:dyDescent="0.2">
      <c r="A37" s="30"/>
      <c r="B37" s="4">
        <v>140</v>
      </c>
      <c r="C37" s="123">
        <v>185.88</v>
      </c>
      <c r="D37" s="124">
        <v>185.88</v>
      </c>
      <c r="E37" s="125">
        <v>185.88</v>
      </c>
      <c r="F37" s="125">
        <v>185.88</v>
      </c>
      <c r="G37" s="30"/>
      <c r="H37" s="30"/>
      <c r="I37" s="30"/>
      <c r="J37" s="30"/>
      <c r="K37" s="30"/>
      <c r="L37" s="30"/>
      <c r="M37" s="30"/>
    </row>
    <row r="38" spans="1:16" ht="16" customHeight="1" x14ac:dyDescent="0.2">
      <c r="A38" s="30"/>
      <c r="B38" s="1">
        <v>150</v>
      </c>
      <c r="C38" s="11">
        <f>_xlfn.FORECAST.LINEAR(Table2[[#This Row],[Timeline]],C3:C19,B3:B19)</f>
        <v>181.47307692307695</v>
      </c>
      <c r="D38" s="4">
        <f>_xlfn.FORECAST.ETS(B38,$C$3:$C$19,$B$3:$B$19,1,1)</f>
        <v>207.07292856355744</v>
      </c>
      <c r="E38" s="10">
        <f>D38-_xlfn.FORECAST.ETS.CONFINT(B38,$C$3:$C$19,$B$3:$B$19,0.95,1,1)</f>
        <v>199.18878653141891</v>
      </c>
      <c r="F38" s="10">
        <f>D38+_xlfn.FORECAST.ETS.CONFINT(B38,$C$3:$C$19,$B$3:$B$19,0.95,1,1)</f>
        <v>214.95707059569597</v>
      </c>
      <c r="G38" s="30"/>
      <c r="H38" s="30"/>
      <c r="I38" s="30"/>
      <c r="J38" s="30"/>
      <c r="K38" s="30"/>
      <c r="L38" s="30"/>
      <c r="M38" s="30"/>
    </row>
    <row r="39" spans="1:16" ht="16" customHeight="1" x14ac:dyDescent="0.2">
      <c r="A39" s="30"/>
      <c r="B39" s="1">
        <v>160</v>
      </c>
      <c r="C39" s="11">
        <f>_xlfn.FORECAST.LINEAR(Table2[[#This Row],[Timeline]],C4:C20,B4:B20)</f>
        <v>195.57358241758243</v>
      </c>
      <c r="D39" s="4">
        <f t="shared" ref="D39:D41" si="0">_xlfn.FORECAST.ETS(B39,$C$3:$C$19,$B$3:$B$19,1,1)</f>
        <v>227.825960875248</v>
      </c>
      <c r="E39" s="10">
        <f t="shared" ref="E39:E41" si="1">D39-_xlfn.FORECAST.ETS.CONFINT(B39,$C$3:$C$19,$B$3:$B$19,0.95,1,1)</f>
        <v>211.59841033527942</v>
      </c>
      <c r="F39" s="10">
        <f t="shared" ref="F39:F41" si="2">D39+_xlfn.FORECAST.ETS.CONFINT(B39,$C$3:$C$19,$B$3:$B$19,0.95,1,1)</f>
        <v>244.05351141521658</v>
      </c>
      <c r="G39" s="30"/>
      <c r="H39" s="30"/>
      <c r="I39" s="30"/>
      <c r="J39" s="30"/>
      <c r="K39" s="30"/>
      <c r="L39" s="30"/>
      <c r="M39" s="30"/>
    </row>
    <row r="40" spans="1:16" ht="16" customHeight="1" x14ac:dyDescent="0.2">
      <c r="A40" s="30"/>
      <c r="B40" s="1">
        <v>170</v>
      </c>
      <c r="C40" s="11">
        <f>_xlfn.FORECAST.LINEAR(Table2[[#This Row],[Timeline]],C5:C21,B5:B21)</f>
        <v>209.67408791208794</v>
      </c>
      <c r="D40" s="4">
        <f t="shared" si="0"/>
        <v>248.57899318693853</v>
      </c>
      <c r="E40" s="10">
        <f t="shared" si="1"/>
        <v>221.82443280457932</v>
      </c>
      <c r="F40" s="10">
        <f t="shared" si="2"/>
        <v>275.33355356929775</v>
      </c>
      <c r="G40" s="30"/>
      <c r="H40" s="30"/>
      <c r="I40" s="30"/>
      <c r="J40" s="30"/>
      <c r="K40" s="30"/>
      <c r="L40" s="30"/>
      <c r="M40" s="30"/>
    </row>
    <row r="41" spans="1:16" ht="16" customHeight="1" x14ac:dyDescent="0.2">
      <c r="A41" s="30"/>
      <c r="B41" s="1">
        <v>180</v>
      </c>
      <c r="C41" s="11">
        <f>_xlfn.FORECAST.LINEAR(Table2[[#This Row],[Timeline]],C6:C22,B6:B22)</f>
        <v>223.77459340659343</v>
      </c>
      <c r="D41" s="4">
        <f t="shared" si="0"/>
        <v>269.33202549862909</v>
      </c>
      <c r="E41" s="10">
        <f t="shared" si="1"/>
        <v>230.34415474347253</v>
      </c>
      <c r="F41" s="10">
        <f t="shared" si="2"/>
        <v>308.31989625378566</v>
      </c>
      <c r="G41" s="30"/>
      <c r="H41" s="30"/>
      <c r="I41" s="30"/>
      <c r="J41" s="30"/>
      <c r="K41" s="30"/>
      <c r="L41" s="30"/>
      <c r="M41" s="30"/>
    </row>
    <row r="42" spans="1:16" ht="16" customHeight="1" x14ac:dyDescent="0.2">
      <c r="A42" s="30"/>
      <c r="C42" s="4" t="s">
        <v>77</v>
      </c>
      <c r="D42" s="126" t="s">
        <v>78</v>
      </c>
      <c r="E42" s="127"/>
      <c r="F42" s="127"/>
      <c r="G42" s="30"/>
      <c r="H42" s="30"/>
      <c r="I42" s="30"/>
      <c r="J42" s="30"/>
      <c r="K42" s="30"/>
      <c r="L42" s="30"/>
      <c r="M42" s="30"/>
    </row>
    <row r="43" spans="1:16" ht="44" customHeight="1" x14ac:dyDescent="0.2">
      <c r="A43" s="30"/>
      <c r="B43" s="122" t="s">
        <v>135</v>
      </c>
      <c r="C43" s="121" t="s">
        <v>140</v>
      </c>
      <c r="D43" s="30"/>
      <c r="F43" s="30"/>
      <c r="G43" s="30"/>
      <c r="H43" s="30"/>
      <c r="I43" s="30"/>
      <c r="J43" s="30"/>
      <c r="K43" s="30"/>
      <c r="L43" s="30"/>
      <c r="M43" s="30"/>
    </row>
    <row r="44" spans="1:16" ht="16" customHeight="1" x14ac:dyDescent="0.2">
      <c r="A44" s="30"/>
      <c r="B44" s="122" t="s">
        <v>136</v>
      </c>
      <c r="C44" s="30" t="s">
        <v>141</v>
      </c>
      <c r="D44" s="30"/>
      <c r="E44" s="30"/>
      <c r="F44" s="30"/>
      <c r="G44" s="30"/>
      <c r="H44" s="30"/>
      <c r="I44" s="30"/>
      <c r="J44" s="30"/>
      <c r="K44" s="30"/>
      <c r="L44" s="30"/>
      <c r="M44" s="30"/>
    </row>
    <row r="45" spans="1:16" ht="16" customHeight="1" x14ac:dyDescent="0.2">
      <c r="A45" s="30"/>
      <c r="B45" s="122" t="s">
        <v>137</v>
      </c>
      <c r="C45" s="30" t="s">
        <v>142</v>
      </c>
      <c r="D45" s="30"/>
      <c r="E45" s="30"/>
      <c r="F45" s="30"/>
      <c r="G45" s="30"/>
      <c r="H45" s="30"/>
      <c r="I45" s="30"/>
      <c r="J45" s="30"/>
      <c r="K45" s="30"/>
      <c r="L45" s="30"/>
      <c r="M45" s="30"/>
    </row>
    <row r="46" spans="1:16" ht="22" customHeight="1" x14ac:dyDescent="0.2">
      <c r="A46" s="30"/>
      <c r="B46" s="122" t="s">
        <v>138</v>
      </c>
      <c r="C46" s="30" t="s">
        <v>143</v>
      </c>
      <c r="F46" s="30"/>
      <c r="G46" s="30"/>
      <c r="H46" s="30"/>
      <c r="I46" s="30"/>
      <c r="J46" s="30"/>
      <c r="K46" s="30"/>
      <c r="L46" s="30"/>
      <c r="M46" s="30"/>
    </row>
    <row r="47" spans="1:16" ht="22" customHeight="1" x14ac:dyDescent="0.2">
      <c r="A47" s="30"/>
      <c r="B47" s="30"/>
      <c r="C47" s="30"/>
      <c r="F47" s="30"/>
      <c r="G47" s="30"/>
      <c r="H47" s="30"/>
      <c r="I47" s="30"/>
      <c r="J47" s="30"/>
      <c r="K47" s="30"/>
      <c r="L47" s="30"/>
      <c r="M47" s="30"/>
    </row>
    <row r="48" spans="1:16" ht="22" customHeight="1" x14ac:dyDescent="0.2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O48" s="30"/>
      <c r="P48" s="30"/>
    </row>
    <row r="49" spans="4:15" ht="16" customHeight="1" x14ac:dyDescent="0.25">
      <c r="D49" s="82" t="s">
        <v>124</v>
      </c>
      <c r="F49" s="30"/>
      <c r="G49" s="30"/>
      <c r="H49" s="30"/>
      <c r="I49" s="30"/>
      <c r="J49" s="30"/>
      <c r="K49" s="30"/>
      <c r="L49" s="30"/>
      <c r="M49" s="30"/>
      <c r="O49" s="30"/>
    </row>
    <row r="50" spans="4:15" ht="16" customHeight="1" x14ac:dyDescent="0.3">
      <c r="D50" s="81"/>
      <c r="F50" s="30"/>
      <c r="G50" s="30"/>
      <c r="H50" s="30"/>
      <c r="I50" s="30"/>
      <c r="J50" s="30"/>
      <c r="K50" s="30"/>
      <c r="L50" s="30"/>
      <c r="M50" s="30"/>
    </row>
  </sheetData>
  <mergeCells count="1">
    <mergeCell ref="F15:K16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Aplicatia propusa </vt:lpstr>
      <vt:lpstr>Cerința 1</vt:lpstr>
      <vt:lpstr>Cerinta 2</vt:lpstr>
      <vt:lpstr>Cerinta 3</vt:lpstr>
      <vt:lpstr>Cerinta 4</vt:lpstr>
      <vt:lpstr>Cerinta 5</vt:lpstr>
      <vt:lpstr>Cerinta 6</vt:lpstr>
      <vt:lpstr>Cerinta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</dc:creator>
  <cp:lastModifiedBy>Arina Gogu</cp:lastModifiedBy>
  <dcterms:created xsi:type="dcterms:W3CDTF">2020-04-29T11:47:23Z</dcterms:created>
  <dcterms:modified xsi:type="dcterms:W3CDTF">2026-05-12T14:28:48Z</dcterms:modified>
</cp:coreProperties>
</file>